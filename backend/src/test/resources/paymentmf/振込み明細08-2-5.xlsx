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opbox\自分用\小田光\マネーフォワード用\買掛処理用\"/>
    </mc:Choice>
  </mc:AlternateContent>
  <xr:revisionPtr revIDLastSave="0" documentId="13_ncr:1_{82CD489A-D8B3-4D65-A8DF-55E8E9F130F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振込明細" sheetId="1" r:id="rId1"/>
    <sheet name="MF変換" sheetId="2" r:id="rId2"/>
    <sheet name="変換MAP" sheetId="3" r:id="rId3"/>
  </sheets>
  <definedNames>
    <definedName name="_xlnm._FilterDatabase" localSheetId="1" hidden="1">MF変換!$A$1:$S$43</definedName>
    <definedName name="_xlnm._FilterDatabase" localSheetId="0" hidden="1">振込明細!$A$2:$P$44</definedName>
    <definedName name="_xlnm.Print_Area" localSheetId="0">振込明細!$A$1:$Q$43</definedName>
    <definedName name="_xlnm.Print_Titles" localSheetId="0">振込明細!$2:$2</definedName>
  </definedNames>
  <calcPr calcId="191029"/>
</workbook>
</file>

<file path=xl/calcChain.xml><?xml version="1.0" encoding="utf-8"?>
<calcChain xmlns="http://schemas.openxmlformats.org/spreadsheetml/2006/main">
  <c r="I43" i="2" l="1"/>
  <c r="D43" i="2"/>
  <c r="B43" i="2"/>
  <c r="I42" i="2"/>
  <c r="D42" i="2"/>
  <c r="B42" i="2"/>
  <c r="I41" i="2"/>
  <c r="D41" i="2"/>
  <c r="B41" i="2"/>
  <c r="I40" i="2"/>
  <c r="D40" i="2"/>
  <c r="B40" i="2"/>
  <c r="I39" i="2"/>
  <c r="D39" i="2"/>
  <c r="Q39" i="2" s="1"/>
  <c r="B39" i="2"/>
  <c r="I38" i="2"/>
  <c r="P38" i="2" s="1"/>
  <c r="D38" i="2"/>
  <c r="B38" i="2"/>
  <c r="I37" i="2"/>
  <c r="D37" i="2"/>
  <c r="B37" i="2"/>
  <c r="I36" i="2"/>
  <c r="D36" i="2"/>
  <c r="B36" i="2"/>
  <c r="I35" i="2"/>
  <c r="D35" i="2"/>
  <c r="Q35" i="2" s="1"/>
  <c r="B35" i="2"/>
  <c r="I34" i="2"/>
  <c r="D34" i="2"/>
  <c r="B34" i="2"/>
  <c r="I33" i="2"/>
  <c r="P33" i="2" s="1"/>
  <c r="D33" i="2"/>
  <c r="Q33" i="2" s="1"/>
  <c r="B33" i="2"/>
  <c r="I32" i="2"/>
  <c r="D32" i="2"/>
  <c r="B32" i="2"/>
  <c r="I31" i="2"/>
  <c r="D31" i="2"/>
  <c r="B31" i="2"/>
  <c r="I30" i="2"/>
  <c r="D30" i="2"/>
  <c r="B30" i="2"/>
  <c r="I29" i="2"/>
  <c r="D29" i="2"/>
  <c r="B29" i="2"/>
  <c r="I28" i="2"/>
  <c r="D28" i="2"/>
  <c r="Q28" i="2" s="1"/>
  <c r="B28" i="2"/>
  <c r="I27" i="2"/>
  <c r="D27" i="2"/>
  <c r="B27" i="2"/>
  <c r="I26" i="2"/>
  <c r="D26" i="2"/>
  <c r="B26" i="2"/>
  <c r="I25" i="2"/>
  <c r="D25" i="2"/>
  <c r="Q25" i="2" s="1"/>
  <c r="B25" i="2"/>
  <c r="I24" i="2"/>
  <c r="P24" i="2" s="1"/>
  <c r="D24" i="2"/>
  <c r="Q24" i="2" s="1"/>
  <c r="B24" i="2"/>
  <c r="I23" i="2"/>
  <c r="P23" i="2" s="1"/>
  <c r="D23" i="2"/>
  <c r="Q23" i="2" s="1"/>
  <c r="B23" i="2"/>
  <c r="I22" i="2"/>
  <c r="P22" i="2" s="1"/>
  <c r="D22" i="2"/>
  <c r="B22" i="2"/>
  <c r="I21" i="2"/>
  <c r="D21" i="2"/>
  <c r="B21" i="2"/>
  <c r="I20" i="2"/>
  <c r="D20" i="2"/>
  <c r="B20" i="2"/>
  <c r="I19" i="2"/>
  <c r="D19" i="2"/>
  <c r="Q19" i="2" s="1"/>
  <c r="B19" i="2"/>
  <c r="I18" i="2"/>
  <c r="D18" i="2"/>
  <c r="B18" i="2"/>
  <c r="I17" i="2"/>
  <c r="P17" i="2" s="1"/>
  <c r="D17" i="2"/>
  <c r="Q17" i="2" s="1"/>
  <c r="B17" i="2"/>
  <c r="I16" i="2"/>
  <c r="D16" i="2"/>
  <c r="B16" i="2"/>
  <c r="I15" i="2"/>
  <c r="D15" i="2"/>
  <c r="B15" i="2"/>
  <c r="I14" i="2"/>
  <c r="D14" i="2"/>
  <c r="B14" i="2"/>
  <c r="I13" i="2"/>
  <c r="P13" i="2" s="1"/>
  <c r="D13" i="2"/>
  <c r="Q13" i="2" s="1"/>
  <c r="B13" i="2"/>
  <c r="I12" i="2"/>
  <c r="P12" i="2" s="1"/>
  <c r="D12" i="2"/>
  <c r="Q12" i="2" s="1"/>
  <c r="B12" i="2"/>
  <c r="I11" i="2"/>
  <c r="D11" i="2"/>
  <c r="B11" i="2"/>
  <c r="I10" i="2"/>
  <c r="D10" i="2"/>
  <c r="B10" i="2"/>
  <c r="I9" i="2"/>
  <c r="D9" i="2"/>
  <c r="Q9" i="2" s="1"/>
  <c r="B9" i="2"/>
  <c r="I8" i="2"/>
  <c r="P8" i="2" s="1"/>
  <c r="D8" i="2"/>
  <c r="Q8" i="2" s="1"/>
  <c r="B8" i="2"/>
  <c r="I7" i="2"/>
  <c r="P7" i="2" s="1"/>
  <c r="D7" i="2"/>
  <c r="Q7" i="2" s="1"/>
  <c r="B7" i="2"/>
  <c r="I6" i="2"/>
  <c r="P6" i="2" s="1"/>
  <c r="D6" i="2"/>
  <c r="Q6" i="2" s="1"/>
  <c r="B6" i="2"/>
  <c r="I5" i="2"/>
  <c r="D5" i="2"/>
  <c r="B5" i="2"/>
  <c r="I4" i="2"/>
  <c r="D4" i="2"/>
  <c r="B4" i="2"/>
  <c r="I3" i="2"/>
  <c r="D3" i="2"/>
  <c r="B3" i="2"/>
  <c r="I2" i="2"/>
  <c r="D2" i="2"/>
  <c r="B2" i="2"/>
  <c r="P43" i="2"/>
  <c r="P42" i="2"/>
  <c r="P41" i="2"/>
  <c r="Q41" i="2"/>
  <c r="P40" i="2"/>
  <c r="Q40" i="2"/>
  <c r="P39" i="2"/>
  <c r="Q38" i="2"/>
  <c r="Q37" i="2"/>
  <c r="P37" i="2"/>
  <c r="P36" i="2"/>
  <c r="Q36" i="2"/>
  <c r="P35" i="2"/>
  <c r="P34" i="2"/>
  <c r="Q34" i="2"/>
  <c r="P32" i="2"/>
  <c r="Q32" i="2"/>
  <c r="Q31" i="2"/>
  <c r="P31" i="2"/>
  <c r="Q30" i="2"/>
  <c r="P30" i="2"/>
  <c r="P29" i="2"/>
  <c r="Q29" i="2"/>
  <c r="P28" i="2"/>
  <c r="Q27" i="2"/>
  <c r="P27" i="2"/>
  <c r="P26" i="2"/>
  <c r="Q26" i="2"/>
  <c r="P25" i="2"/>
  <c r="Q22" i="2"/>
  <c r="P21" i="2"/>
  <c r="Q21" i="2"/>
  <c r="P20" i="2"/>
  <c r="Q20" i="2"/>
  <c r="P19" i="2"/>
  <c r="P18" i="2"/>
  <c r="Q18" i="2"/>
  <c r="P16" i="2"/>
  <c r="Q16" i="2"/>
  <c r="Q15" i="2"/>
  <c r="P15" i="2"/>
  <c r="Q14" i="2"/>
  <c r="P14" i="2"/>
  <c r="Q11" i="2"/>
  <c r="P11" i="2"/>
  <c r="P10" i="2"/>
  <c r="Q10" i="2"/>
  <c r="P9" i="2"/>
  <c r="P5" i="2"/>
  <c r="Q5" i="2"/>
  <c r="P4" i="2"/>
  <c r="Q4" i="2"/>
  <c r="P3" i="2"/>
  <c r="Q3" i="2"/>
  <c r="P2" i="2"/>
  <c r="Q2" i="2"/>
  <c r="E28" i="1" l="1"/>
  <c r="D28" i="1"/>
  <c r="F28" i="1" s="1"/>
  <c r="D9" i="1"/>
  <c r="F9" i="1" s="1"/>
  <c r="E9" i="1"/>
  <c r="D14" i="1"/>
  <c r="F14" i="1" s="1"/>
  <c r="E14" i="1"/>
  <c r="D27" i="1"/>
  <c r="F27" i="1" s="1"/>
  <c r="E27" i="1"/>
  <c r="D24" i="1"/>
  <c r="F24" i="1" s="1"/>
  <c r="D37" i="1"/>
  <c r="F37" i="1" s="1"/>
  <c r="D35" i="1"/>
  <c r="F35" i="1" s="1"/>
  <c r="E35" i="1" s="1"/>
  <c r="C43" i="1"/>
  <c r="D31" i="1"/>
  <c r="F31" i="1" s="1"/>
  <c r="E31" i="1" s="1"/>
  <c r="D3" i="1"/>
  <c r="F3" i="1" s="1"/>
  <c r="S4" i="1"/>
  <c r="I4" i="1" s="1"/>
  <c r="D6" i="1"/>
  <c r="F6" i="1" s="1"/>
  <c r="E6" i="1" s="1"/>
  <c r="D7" i="1"/>
  <c r="F7" i="1" s="1"/>
  <c r="D8" i="1"/>
  <c r="D10" i="1"/>
  <c r="F10" i="1" s="1"/>
  <c r="E10" i="1" s="1"/>
  <c r="D11" i="1"/>
  <c r="F11" i="1" s="1"/>
  <c r="E11" i="1"/>
  <c r="D12" i="1"/>
  <c r="F12" i="1" s="1"/>
  <c r="E12" i="1" s="1"/>
  <c r="D13" i="1"/>
  <c r="F13" i="1" s="1"/>
  <c r="E13" i="1" s="1"/>
  <c r="D15" i="1"/>
  <c r="F15" i="1" s="1"/>
  <c r="D16" i="1"/>
  <c r="F16" i="1" s="1"/>
  <c r="D17" i="1"/>
  <c r="F17" i="1" s="1"/>
  <c r="E17" i="1" s="1"/>
  <c r="S18" i="1"/>
  <c r="D19" i="1"/>
  <c r="F19" i="1" s="1"/>
  <c r="D20" i="1"/>
  <c r="D21" i="1"/>
  <c r="F21" i="1" s="1"/>
  <c r="D22" i="1"/>
  <c r="F22" i="1" s="1"/>
  <c r="E22" i="1"/>
  <c r="D23" i="1"/>
  <c r="F23" i="1" s="1"/>
  <c r="D25" i="1"/>
  <c r="F25" i="1" s="1"/>
  <c r="E25" i="1"/>
  <c r="S26" i="1"/>
  <c r="I26" i="1" s="1"/>
  <c r="D26" i="1" s="1"/>
  <c r="S29" i="1"/>
  <c r="I29" i="1" s="1"/>
  <c r="D29" i="1" s="1"/>
  <c r="D30" i="1"/>
  <c r="F30" i="1" s="1"/>
  <c r="D32" i="1"/>
  <c r="F32" i="1" s="1"/>
  <c r="D33" i="1"/>
  <c r="F33" i="1" s="1"/>
  <c r="E33" i="1"/>
  <c r="D34" i="1"/>
  <c r="F34" i="1" s="1"/>
  <c r="D36" i="1"/>
  <c r="F36" i="1" s="1"/>
  <c r="E36" i="1" s="1"/>
  <c r="D38" i="1"/>
  <c r="D39" i="1"/>
  <c r="E39" i="1" s="1"/>
  <c r="S40" i="1"/>
  <c r="I40" i="1" s="1"/>
  <c r="D40" i="1" s="1"/>
  <c r="D41" i="1"/>
  <c r="F41" i="1" s="1"/>
  <c r="D42" i="1"/>
  <c r="G43" i="1"/>
  <c r="H43" i="1"/>
  <c r="J43" i="1"/>
  <c r="E15" i="1"/>
  <c r="E30" i="1"/>
  <c r="E19" i="1"/>
  <c r="D5" i="1"/>
  <c r="F5" i="1" s="1"/>
  <c r="E34" i="1"/>
  <c r="E37" i="1"/>
  <c r="E24" i="1"/>
  <c r="E41" i="1"/>
  <c r="E21" i="1" l="1"/>
  <c r="E16" i="1"/>
  <c r="D18" i="1"/>
  <c r="F18" i="1" s="1"/>
  <c r="E18" i="1" s="1"/>
  <c r="E23" i="1"/>
  <c r="E3" i="1"/>
  <c r="E7" i="1"/>
  <c r="F20" i="1"/>
  <c r="E20" i="1" s="1"/>
  <c r="F42" i="1"/>
  <c r="E42" i="1" s="1"/>
  <c r="F40" i="1"/>
  <c r="E40" i="1" s="1"/>
  <c r="F38" i="1"/>
  <c r="E38" i="1" s="1"/>
  <c r="E32" i="1"/>
  <c r="F29" i="1"/>
  <c r="E29" i="1" s="1"/>
  <c r="F26" i="1"/>
  <c r="E26" i="1" s="1"/>
  <c r="F8" i="1"/>
  <c r="E8" i="1" s="1"/>
  <c r="E5" i="1"/>
  <c r="D4" i="1"/>
  <c r="I43" i="1"/>
  <c r="S47" i="1"/>
  <c r="R47" i="1" l="1"/>
  <c r="F4" i="1"/>
  <c r="F43" i="1" s="1"/>
  <c r="D43" i="1"/>
  <c r="I47" i="1" s="1"/>
  <c r="E4" i="1" l="1"/>
  <c r="E43" i="1" s="1"/>
  <c r="T43" i="1" l="1"/>
  <c r="E47" i="1"/>
</calcChain>
</file>

<file path=xl/sharedStrings.xml><?xml version="1.0" encoding="utf-8"?>
<sst xmlns="http://schemas.openxmlformats.org/spreadsheetml/2006/main" count="355" uniqueCount="155">
  <si>
    <t>銀行振込　支払い表</t>
    <rPh sb="0" eb="2">
      <t>ギンコウ</t>
    </rPh>
    <rPh sb="2" eb="4">
      <t>フリコミ</t>
    </rPh>
    <rPh sb="5" eb="7">
      <t>シハラ</t>
    </rPh>
    <rPh sb="8" eb="9">
      <t>ヒョウ</t>
    </rPh>
    <phoneticPr fontId="2"/>
  </si>
  <si>
    <t>送金日</t>
    <rPh sb="0" eb="2">
      <t>ソウキン</t>
    </rPh>
    <rPh sb="2" eb="3">
      <t>ビ</t>
    </rPh>
    <phoneticPr fontId="2"/>
  </si>
  <si>
    <t>四国銀行</t>
    <rPh sb="0" eb="2">
      <t>シコク</t>
    </rPh>
    <rPh sb="2" eb="4">
      <t>ギンコウ</t>
    </rPh>
    <phoneticPr fontId="2"/>
  </si>
  <si>
    <t>青即引き・緑伝票引き</t>
    <rPh sb="0" eb="1">
      <t>アオ</t>
    </rPh>
    <rPh sb="1" eb="2">
      <t>ソク</t>
    </rPh>
    <rPh sb="2" eb="3">
      <t>ビ</t>
    </rPh>
    <rPh sb="5" eb="6">
      <t>ミドリ</t>
    </rPh>
    <rPh sb="6" eb="8">
      <t>デンピョウ</t>
    </rPh>
    <rPh sb="8" eb="9">
      <t>ビ</t>
    </rPh>
    <phoneticPr fontId="2"/>
  </si>
  <si>
    <t>今回手形</t>
    <rPh sb="0" eb="2">
      <t>コンカイ</t>
    </rPh>
    <rPh sb="2" eb="4">
      <t>テガタ</t>
    </rPh>
    <phoneticPr fontId="2"/>
  </si>
  <si>
    <t>即引き％引き</t>
    <rPh sb="0" eb="1">
      <t>ソク</t>
    </rPh>
    <rPh sb="1" eb="2">
      <t>ヒ</t>
    </rPh>
    <rPh sb="4" eb="5">
      <t>ヒ</t>
    </rPh>
    <phoneticPr fontId="2"/>
  </si>
  <si>
    <t>%次月伝票</t>
    <rPh sb="1" eb="3">
      <t>ジゲツ</t>
    </rPh>
    <rPh sb="3" eb="5">
      <t>デンピョウ</t>
    </rPh>
    <phoneticPr fontId="2"/>
  </si>
  <si>
    <t>送り先</t>
    <rPh sb="0" eb="3">
      <t>オクリサキ</t>
    </rPh>
    <phoneticPr fontId="2"/>
  </si>
  <si>
    <t>請求額</t>
    <rPh sb="0" eb="2">
      <t>セイキュウ</t>
    </rPh>
    <rPh sb="2" eb="3">
      <t>ガク</t>
    </rPh>
    <phoneticPr fontId="2"/>
  </si>
  <si>
    <t>打込金額</t>
    <rPh sb="0" eb="2">
      <t>ウチコ</t>
    </rPh>
    <rPh sb="2" eb="4">
      <t>キンガク</t>
    </rPh>
    <phoneticPr fontId="2"/>
  </si>
  <si>
    <t>振込金額</t>
    <rPh sb="0" eb="2">
      <t>フリコミ</t>
    </rPh>
    <rPh sb="2" eb="4">
      <t>キンガク</t>
    </rPh>
    <phoneticPr fontId="2"/>
  </si>
  <si>
    <t>送料相手</t>
    <rPh sb="0" eb="2">
      <t>ソウリョウ</t>
    </rPh>
    <rPh sb="2" eb="4">
      <t>アイテ</t>
    </rPh>
    <phoneticPr fontId="2"/>
  </si>
  <si>
    <t>自社</t>
    <rPh sb="0" eb="2">
      <t>ジシャ</t>
    </rPh>
    <phoneticPr fontId="2"/>
  </si>
  <si>
    <t>値引</t>
    <rPh sb="0" eb="2">
      <t>ネビキ</t>
    </rPh>
    <phoneticPr fontId="2"/>
  </si>
  <si>
    <t>早払い</t>
    <rPh sb="0" eb="1">
      <t>ハヤバ</t>
    </rPh>
    <rPh sb="1" eb="2">
      <t>ハラ</t>
    </rPh>
    <phoneticPr fontId="2"/>
  </si>
  <si>
    <t>相殺</t>
    <rPh sb="0" eb="2">
      <t>ソウサイ</t>
    </rPh>
    <phoneticPr fontId="2"/>
  </si>
  <si>
    <t>大竹</t>
    <rPh sb="0" eb="2">
      <t>オオタケ</t>
    </rPh>
    <phoneticPr fontId="2"/>
  </si>
  <si>
    <t>広島</t>
    <rPh sb="0" eb="2">
      <t>ヒロシマ</t>
    </rPh>
    <phoneticPr fontId="2"/>
  </si>
  <si>
    <t>木原屋</t>
    <rPh sb="0" eb="2">
      <t>キハラ</t>
    </rPh>
    <rPh sb="2" eb="3">
      <t>ヤ</t>
    </rPh>
    <phoneticPr fontId="2"/>
  </si>
  <si>
    <t>サラダ館</t>
    <rPh sb="3" eb="4">
      <t>カン</t>
    </rPh>
    <phoneticPr fontId="2"/>
  </si>
  <si>
    <t>竹の子の里</t>
    <rPh sb="0" eb="3">
      <t>タケノコ</t>
    </rPh>
    <rPh sb="4" eb="5">
      <t>サト</t>
    </rPh>
    <phoneticPr fontId="2"/>
  </si>
  <si>
    <t>本社</t>
    <rPh sb="0" eb="2">
      <t>ホンシャ</t>
    </rPh>
    <phoneticPr fontId="2"/>
  </si>
  <si>
    <t>王子製袋</t>
    <rPh sb="0" eb="2">
      <t>オウジ</t>
    </rPh>
    <rPh sb="2" eb="3">
      <t>セイ</t>
    </rPh>
    <rPh sb="3" eb="4">
      <t>ブクロ</t>
    </rPh>
    <phoneticPr fontId="2"/>
  </si>
  <si>
    <t>大高製紙</t>
    <rPh sb="0" eb="1">
      <t>オオ</t>
    </rPh>
    <rPh sb="1" eb="2">
      <t>タカ</t>
    </rPh>
    <rPh sb="2" eb="4">
      <t>セイシ</t>
    </rPh>
    <phoneticPr fontId="2"/>
  </si>
  <si>
    <t>カミ商事</t>
    <rPh sb="2" eb="4">
      <t>ショウジ</t>
    </rPh>
    <phoneticPr fontId="2"/>
  </si>
  <si>
    <t>河野製紙</t>
    <rPh sb="0" eb="2">
      <t>コウノ</t>
    </rPh>
    <rPh sb="2" eb="4">
      <t>セイシ</t>
    </rPh>
    <phoneticPr fontId="2"/>
  </si>
  <si>
    <t>金星製紙</t>
    <rPh sb="0" eb="2">
      <t>キンセイ</t>
    </rPh>
    <rPh sb="2" eb="4">
      <t>セイシ</t>
    </rPh>
    <phoneticPr fontId="2"/>
  </si>
  <si>
    <t>前谷紙工業</t>
    <rPh sb="0" eb="2">
      <t>マエタニ</t>
    </rPh>
    <rPh sb="2" eb="3">
      <t>カミ</t>
    </rPh>
    <rPh sb="3" eb="5">
      <t>コウギョウ</t>
    </rPh>
    <phoneticPr fontId="2"/>
  </si>
  <si>
    <t>三昭紙業</t>
    <rPh sb="0" eb="1">
      <t>サン</t>
    </rPh>
    <rPh sb="1" eb="2">
      <t>アキラ</t>
    </rPh>
    <rPh sb="2" eb="4">
      <t>シギョウ</t>
    </rPh>
    <phoneticPr fontId="2"/>
  </si>
  <si>
    <t>三友商事</t>
    <rPh sb="0" eb="2">
      <t>サンユウ</t>
    </rPh>
    <rPh sb="2" eb="4">
      <t>ショウジ</t>
    </rPh>
    <phoneticPr fontId="2"/>
  </si>
  <si>
    <t>田宮事務機</t>
    <rPh sb="0" eb="2">
      <t>タミヤ</t>
    </rPh>
    <rPh sb="2" eb="5">
      <t>ジムキ</t>
    </rPh>
    <phoneticPr fontId="2"/>
  </si>
  <si>
    <t>中日綿業</t>
    <rPh sb="0" eb="2">
      <t>チュウニチ</t>
    </rPh>
    <rPh sb="2" eb="3">
      <t>メン</t>
    </rPh>
    <rPh sb="3" eb="4">
      <t>ギョウ</t>
    </rPh>
    <phoneticPr fontId="2"/>
  </si>
  <si>
    <t>ツバメ工業</t>
    <rPh sb="3" eb="5">
      <t>コウギョウ</t>
    </rPh>
    <phoneticPr fontId="2"/>
  </si>
  <si>
    <t>王子ネピア　広島</t>
    <rPh sb="0" eb="2">
      <t>オウジ</t>
    </rPh>
    <rPh sb="6" eb="8">
      <t>ヒロシマ</t>
    </rPh>
    <phoneticPr fontId="2"/>
  </si>
  <si>
    <t>ハヤシ商事</t>
    <rPh sb="3" eb="5">
      <t>ショウジ</t>
    </rPh>
    <phoneticPr fontId="2"/>
  </si>
  <si>
    <t>八幡浜紙業</t>
    <rPh sb="0" eb="2">
      <t>ヤハタ</t>
    </rPh>
    <rPh sb="2" eb="3">
      <t>ハマ</t>
    </rPh>
    <rPh sb="3" eb="5">
      <t>シギョウ</t>
    </rPh>
    <phoneticPr fontId="2"/>
  </si>
  <si>
    <t>松田製袋</t>
    <rPh sb="0" eb="2">
      <t>マツダ</t>
    </rPh>
    <rPh sb="2" eb="4">
      <t>セイタイ</t>
    </rPh>
    <phoneticPr fontId="2"/>
  </si>
  <si>
    <t>コトブキ製紙</t>
    <rPh sb="4" eb="6">
      <t>セイシ</t>
    </rPh>
    <phoneticPr fontId="2"/>
  </si>
  <si>
    <t>柳井紙工</t>
    <rPh sb="0" eb="2">
      <t>ヤナイ</t>
    </rPh>
    <rPh sb="2" eb="4">
      <t>シコウ</t>
    </rPh>
    <phoneticPr fontId="2"/>
  </si>
  <si>
    <t>　</t>
    <phoneticPr fontId="2"/>
  </si>
  <si>
    <t>合計</t>
    <rPh sb="0" eb="2">
      <t>ゴウケイ</t>
    </rPh>
    <phoneticPr fontId="2"/>
  </si>
  <si>
    <t>打込額</t>
    <rPh sb="0" eb="2">
      <t>ウチコミ</t>
    </rPh>
    <rPh sb="2" eb="3">
      <t>ガク</t>
    </rPh>
    <phoneticPr fontId="2"/>
  </si>
  <si>
    <t>振込料</t>
    <rPh sb="0" eb="2">
      <t>フリコミ</t>
    </rPh>
    <rPh sb="2" eb="3">
      <t>リョウ</t>
    </rPh>
    <phoneticPr fontId="2"/>
  </si>
  <si>
    <t>10万以上</t>
    <rPh sb="2" eb="3">
      <t>マン</t>
    </rPh>
    <rPh sb="3" eb="5">
      <t>イジョウ</t>
    </rPh>
    <phoneticPr fontId="2"/>
  </si>
  <si>
    <t>ＣＰ入力</t>
    <rPh sb="2" eb="4">
      <t>ニュウリョク</t>
    </rPh>
    <phoneticPr fontId="2"/>
  </si>
  <si>
    <t>仕入コード</t>
    <rPh sb="0" eb="2">
      <t>シイレ</t>
    </rPh>
    <phoneticPr fontId="2"/>
  </si>
  <si>
    <t>ＡＲＣ</t>
    <phoneticPr fontId="2"/>
  </si>
  <si>
    <t>キンセイ</t>
    <phoneticPr fontId="2"/>
  </si>
  <si>
    <t>シモジマ</t>
    <phoneticPr fontId="2"/>
  </si>
  <si>
    <t>ツボイ</t>
    <phoneticPr fontId="2"/>
  </si>
  <si>
    <t>ぬまご</t>
    <phoneticPr fontId="2"/>
  </si>
  <si>
    <t>フレンド</t>
    <phoneticPr fontId="2"/>
  </si>
  <si>
    <t>フクヤ</t>
    <phoneticPr fontId="2"/>
  </si>
  <si>
    <t>ララ</t>
    <phoneticPr fontId="2"/>
  </si>
  <si>
    <t>トーヨ</t>
    <phoneticPr fontId="2"/>
  </si>
  <si>
    <t>ゴークラ</t>
    <phoneticPr fontId="2"/>
  </si>
  <si>
    <t>シャディ</t>
    <phoneticPr fontId="2"/>
  </si>
  <si>
    <t>立石春洋堂</t>
    <rPh sb="0" eb="1">
      <t>タ</t>
    </rPh>
    <rPh sb="1" eb="2">
      <t>イシ</t>
    </rPh>
    <rPh sb="2" eb="3">
      <t>ハル</t>
    </rPh>
    <rPh sb="3" eb="4">
      <t>ヨウ</t>
    </rPh>
    <rPh sb="4" eb="5">
      <t>ドウ</t>
    </rPh>
    <phoneticPr fontId="2"/>
  </si>
  <si>
    <t>日本製紙クレシア</t>
    <rPh sb="0" eb="2">
      <t>ニホン</t>
    </rPh>
    <rPh sb="2" eb="4">
      <t>セイシ</t>
    </rPh>
    <phoneticPr fontId="2"/>
  </si>
  <si>
    <t xml:space="preserve"> </t>
    <phoneticPr fontId="2"/>
  </si>
  <si>
    <t>三木商事</t>
    <rPh sb="0" eb="2">
      <t>ミキ</t>
    </rPh>
    <rPh sb="2" eb="4">
      <t>ショウジ</t>
    </rPh>
    <phoneticPr fontId="2"/>
  </si>
  <si>
    <t>シルバー化成</t>
    <rPh sb="4" eb="6">
      <t>カセイ</t>
    </rPh>
    <phoneticPr fontId="2"/>
  </si>
  <si>
    <t>王子ネピア　直需</t>
    <rPh sb="0" eb="2">
      <t>オウジ</t>
    </rPh>
    <rPh sb="6" eb="8">
      <t>チョクジュ</t>
    </rPh>
    <phoneticPr fontId="2"/>
  </si>
  <si>
    <t>ヒノマル</t>
    <phoneticPr fontId="2"/>
  </si>
  <si>
    <t>東芝エルイーソリューション㈱</t>
    <rPh sb="0" eb="2">
      <t>トウシバ</t>
    </rPh>
    <phoneticPr fontId="2"/>
  </si>
  <si>
    <t>伊予銀行三島支店　　　         当座   2000581</t>
    <rPh sb="0" eb="4">
      <t>イヨギンコウ</t>
    </rPh>
    <rPh sb="4" eb="6">
      <t>ミシマ</t>
    </rPh>
    <rPh sb="6" eb="8">
      <t>シテン</t>
    </rPh>
    <rPh sb="20" eb="22">
      <t>トウザ</t>
    </rPh>
    <phoneticPr fontId="2"/>
  </si>
  <si>
    <t>花王 業務品 KPS施設</t>
    <rPh sb="0" eb="2">
      <t>カオウ</t>
    </rPh>
    <rPh sb="3" eb="5">
      <t>ギョウム</t>
    </rPh>
    <rPh sb="5" eb="6">
      <t>ヒン</t>
    </rPh>
    <rPh sb="10" eb="12">
      <t>シセツ</t>
    </rPh>
    <phoneticPr fontId="2"/>
  </si>
  <si>
    <t>花王 業務品 KPS</t>
    <rPh sb="0" eb="2">
      <t>カオウ</t>
    </rPh>
    <rPh sb="3" eb="5">
      <t>ギョウム</t>
    </rPh>
    <rPh sb="5" eb="6">
      <t>ヒン</t>
    </rPh>
    <phoneticPr fontId="2"/>
  </si>
  <si>
    <t>西日本衛材</t>
    <rPh sb="0" eb="3">
      <t>ニシニホン</t>
    </rPh>
    <rPh sb="3" eb="5">
      <t>エイザイ</t>
    </rPh>
    <phoneticPr fontId="2"/>
  </si>
  <si>
    <t>歩引き終了</t>
    <rPh sb="0" eb="2">
      <t>ブビ</t>
    </rPh>
    <rPh sb="3" eb="5">
      <t>シュウリョウ</t>
    </rPh>
    <phoneticPr fontId="2"/>
  </si>
  <si>
    <t>㈱ 奈良半商店</t>
    <phoneticPr fontId="2"/>
  </si>
  <si>
    <t>三興化学工業</t>
    <rPh sb="0" eb="2">
      <t>サンコウ</t>
    </rPh>
    <rPh sb="2" eb="4">
      <t>カガク</t>
    </rPh>
    <rPh sb="4" eb="6">
      <t>コウギョウ</t>
    </rPh>
    <phoneticPr fontId="2"/>
  </si>
  <si>
    <t>3万以下振込料負担</t>
    <rPh sb="1" eb="2">
      <t>マン</t>
    </rPh>
    <rPh sb="2" eb="4">
      <t>イカ</t>
    </rPh>
    <rPh sb="4" eb="7">
      <t>フリコミリョウ</t>
    </rPh>
    <rPh sb="7" eb="9">
      <t>フタン</t>
    </rPh>
    <phoneticPr fontId="2"/>
  </si>
  <si>
    <t>取引No</t>
  </si>
  <si>
    <t>取引日</t>
  </si>
  <si>
    <t>借方勘定科目</t>
  </si>
  <si>
    <t>借方補助科目</t>
  </si>
  <si>
    <t>借方部門</t>
  </si>
  <si>
    <t>借方取引先</t>
  </si>
  <si>
    <t>借方税区分</t>
  </si>
  <si>
    <t>借方インボイス</t>
  </si>
  <si>
    <t>貸方勘定科目</t>
  </si>
  <si>
    <t>貸方補助科目</t>
  </si>
  <si>
    <t>貸方部門</t>
  </si>
  <si>
    <t>貸方取引先</t>
  </si>
  <si>
    <t>貸方税区分</t>
  </si>
  <si>
    <t>貸方インボイス</t>
  </si>
  <si>
    <t>貸方金額(円)</t>
  </si>
  <si>
    <t>摘要</t>
  </si>
  <si>
    <t>タグ</t>
  </si>
  <si>
    <t>メモ</t>
  </si>
  <si>
    <t>買掛金</t>
  </si>
  <si>
    <t>対象外</t>
  </si>
  <si>
    <t>資金複合</t>
  </si>
  <si>
    <t>資金複合</t>
    <phoneticPr fontId="2"/>
  </si>
  <si>
    <t>仕入値引・戻し高</t>
    <phoneticPr fontId="2"/>
  </si>
  <si>
    <t>物販事業部</t>
  </si>
  <si>
    <t>課税仕入-返還等 10%</t>
    <phoneticPr fontId="2"/>
  </si>
  <si>
    <t>振込手数料値引／5日払い分</t>
    <phoneticPr fontId="2"/>
  </si>
  <si>
    <t>早払収益</t>
    <phoneticPr fontId="2"/>
  </si>
  <si>
    <t>非課税売上</t>
    <phoneticPr fontId="2"/>
  </si>
  <si>
    <t>早払収益／5日払い分</t>
    <phoneticPr fontId="2"/>
  </si>
  <si>
    <t>EXCEL</t>
    <phoneticPr fontId="2"/>
  </si>
  <si>
    <t>MF</t>
    <phoneticPr fontId="2"/>
  </si>
  <si>
    <t>ＡＲＣ</t>
  </si>
  <si>
    <t>ＡＲＣ（株）</t>
    <phoneticPr fontId="2"/>
  </si>
  <si>
    <t>大高製紙（株）</t>
    <phoneticPr fontId="2"/>
  </si>
  <si>
    <t>王子製袋（株）</t>
    <phoneticPr fontId="2"/>
  </si>
  <si>
    <t>カミ商事（株）</t>
    <phoneticPr fontId="2"/>
  </si>
  <si>
    <t>河野製紙（株）</t>
    <phoneticPr fontId="2"/>
  </si>
  <si>
    <t>花王プロフェショナルｻｰﾋﾞｽ</t>
    <phoneticPr fontId="2"/>
  </si>
  <si>
    <t>金星製紙（株）</t>
    <phoneticPr fontId="2"/>
  </si>
  <si>
    <t>キンセイ</t>
  </si>
  <si>
    <t>（株）キンセイ</t>
    <phoneticPr fontId="2"/>
  </si>
  <si>
    <t>日本製紙クレシア（株）</t>
    <phoneticPr fontId="2"/>
  </si>
  <si>
    <t>コトブキ製紙（株）</t>
    <phoneticPr fontId="2"/>
  </si>
  <si>
    <t>ゴークラ</t>
  </si>
  <si>
    <t>三昭紙業（株）</t>
    <phoneticPr fontId="2"/>
  </si>
  <si>
    <t>三興化学工業（株）</t>
    <phoneticPr fontId="2"/>
  </si>
  <si>
    <t>三友商事（株）</t>
    <phoneticPr fontId="2"/>
  </si>
  <si>
    <t>シモジマ</t>
  </si>
  <si>
    <t>（株）シモジマ</t>
    <phoneticPr fontId="2"/>
  </si>
  <si>
    <t>（有）シルバー化成工業所</t>
    <phoneticPr fontId="2"/>
  </si>
  <si>
    <t>シャディ</t>
  </si>
  <si>
    <t>シャディ（株）</t>
    <phoneticPr fontId="2"/>
  </si>
  <si>
    <t>（株）田宮事務器</t>
    <phoneticPr fontId="2"/>
  </si>
  <si>
    <t>（株）立石春洋堂</t>
    <phoneticPr fontId="2"/>
  </si>
  <si>
    <t>中日綿業（株）</t>
    <phoneticPr fontId="2"/>
  </si>
  <si>
    <t>ツバメ工業（株）</t>
    <phoneticPr fontId="2"/>
  </si>
  <si>
    <t>ツボイ</t>
  </si>
  <si>
    <t>トーヨ</t>
  </si>
  <si>
    <t>（株）トーヨ</t>
    <phoneticPr fontId="2"/>
  </si>
  <si>
    <t>㈱ 奈良半商店</t>
  </si>
  <si>
    <t>西日本衛材（株）</t>
    <phoneticPr fontId="2"/>
  </si>
  <si>
    <t>ぬまご</t>
  </si>
  <si>
    <t>（株）ぬまご</t>
    <phoneticPr fontId="2"/>
  </si>
  <si>
    <t>王子ネピア（株）</t>
    <phoneticPr fontId="2"/>
  </si>
  <si>
    <t>王子ネピア（直需）</t>
    <phoneticPr fontId="2"/>
  </si>
  <si>
    <t>ハヤシ商事（株）</t>
    <phoneticPr fontId="2"/>
  </si>
  <si>
    <t>ヒノマル</t>
  </si>
  <si>
    <t>ヒノマル（株）</t>
    <phoneticPr fontId="2"/>
  </si>
  <si>
    <t>フクヤ</t>
  </si>
  <si>
    <t>（株）フクヤ</t>
    <phoneticPr fontId="2"/>
  </si>
  <si>
    <t>フレンド</t>
  </si>
  <si>
    <t>（株）フレンド</t>
    <phoneticPr fontId="2"/>
  </si>
  <si>
    <t>前谷紙工業（株）</t>
    <phoneticPr fontId="2"/>
  </si>
  <si>
    <t>（株）松田製袋</t>
    <phoneticPr fontId="2"/>
  </si>
  <si>
    <t>三木商事（株）</t>
    <phoneticPr fontId="2"/>
  </si>
  <si>
    <t>八幡浜紙業（株）</t>
    <phoneticPr fontId="2"/>
  </si>
  <si>
    <t>ララ</t>
  </si>
  <si>
    <t>（株）ララ</t>
    <phoneticPr fontId="2"/>
  </si>
  <si>
    <t>柳井紙工（株）</t>
    <phoneticPr fontId="2"/>
  </si>
  <si>
    <t>シーバイエス ㈱</t>
    <phoneticPr fontId="2"/>
  </si>
  <si>
    <t>シーバイエス（株）</t>
    <phoneticPr fontId="2"/>
  </si>
  <si>
    <t>借方金額(円)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</si>
</sst>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[$-411]ggge&quot;年&quot;m&quot;月&quot;d&quot;日&quot;;@"/>
    <numFmt numFmtId="178" formatCode="0_ 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7"/>
      <name val="ＭＳ Ｐゴシック"/>
      <family val="3"/>
      <charset val="128"/>
    </font>
    <font>
      <sz val="2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/>
    <xf numFmtId="0" fontId="1" fillId="0" borderId="0">
      <alignment vertical="center"/>
    </xf>
  </cellStyleXfs>
  <cellXfs count="77">
    <xf numFmtId="0" fontId="0" fillId="0" borderId="0" xfId="0"/>
    <xf numFmtId="38" fontId="4" fillId="0" borderId="5" xfId="1" applyFont="1" applyFill="1" applyBorder="1" applyAlignment="1">
      <alignment vertical="center"/>
    </xf>
    <xf numFmtId="38" fontId="8" fillId="0" borderId="15" xfId="1" applyFont="1" applyFill="1" applyBorder="1" applyAlignment="1">
      <alignment vertical="center"/>
    </xf>
    <xf numFmtId="38" fontId="4" fillId="0" borderId="8" xfId="1" applyFont="1" applyFill="1" applyBorder="1" applyAlignment="1">
      <alignment vertical="center"/>
    </xf>
    <xf numFmtId="38" fontId="8" fillId="0" borderId="22" xfId="1" applyFont="1" applyFill="1" applyBorder="1" applyAlignment="1">
      <alignment vertical="center"/>
    </xf>
    <xf numFmtId="38" fontId="8" fillId="0" borderId="5" xfId="1" applyFont="1" applyFill="1" applyBorder="1" applyAlignment="1">
      <alignment vertical="center"/>
    </xf>
    <xf numFmtId="38" fontId="8" fillId="0" borderId="8" xfId="1" applyFont="1" applyFill="1" applyBorder="1" applyAlignment="1">
      <alignment vertical="center"/>
    </xf>
    <xf numFmtId="38" fontId="8" fillId="0" borderId="0" xfId="1" applyFont="1" applyFill="1"/>
    <xf numFmtId="38" fontId="9" fillId="0" borderId="12" xfId="1" applyFont="1" applyFill="1" applyBorder="1" applyAlignment="1">
      <alignment vertical="center"/>
    </xf>
    <xf numFmtId="38" fontId="8" fillId="0" borderId="12" xfId="1" applyFont="1" applyFill="1" applyBorder="1" applyAlignment="1">
      <alignment vertical="center"/>
    </xf>
    <xf numFmtId="0" fontId="3" fillId="0" borderId="0" xfId="0" applyFont="1"/>
    <xf numFmtId="0" fontId="11" fillId="0" borderId="0" xfId="0" applyFont="1"/>
    <xf numFmtId="0" fontId="8" fillId="0" borderId="0" xfId="0" applyFont="1"/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38" fontId="11" fillId="0" borderId="4" xfId="1" applyFont="1" applyFill="1" applyBorder="1" applyAlignment="1">
      <alignment vertical="center"/>
    </xf>
    <xf numFmtId="0" fontId="11" fillId="0" borderId="19" xfId="0" applyFont="1" applyBorder="1" applyAlignment="1">
      <alignment horizontal="right" vertical="center"/>
    </xf>
    <xf numFmtId="38" fontId="4" fillId="0" borderId="6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56" fontId="3" fillId="0" borderId="0" xfId="0" applyNumberFormat="1" applyFont="1" applyAlignment="1">
      <alignment vertical="center"/>
    </xf>
    <xf numFmtId="0" fontId="9" fillId="0" borderId="13" xfId="0" applyFont="1" applyBorder="1" applyAlignment="1">
      <alignment vertical="center"/>
    </xf>
    <xf numFmtId="0" fontId="11" fillId="0" borderId="20" xfId="0" applyFont="1" applyBorder="1" applyAlignment="1">
      <alignment horizontal="right" vertical="center"/>
    </xf>
    <xf numFmtId="1" fontId="11" fillId="0" borderId="0" xfId="0" applyNumberFormat="1" applyFont="1" applyAlignment="1">
      <alignment vertical="center"/>
    </xf>
    <xf numFmtId="1" fontId="8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7" xfId="2" applyFont="1" applyBorder="1" applyAlignment="1">
      <alignment vertical="center"/>
    </xf>
    <xf numFmtId="0" fontId="14" fillId="0" borderId="13" xfId="2" applyFont="1" applyBorder="1" applyAlignment="1">
      <alignment vertical="center" shrinkToFit="1"/>
    </xf>
    <xf numFmtId="0" fontId="9" fillId="0" borderId="24" xfId="2" applyFont="1" applyBorder="1" applyAlignment="1">
      <alignment vertical="center"/>
    </xf>
    <xf numFmtId="0" fontId="11" fillId="0" borderId="13" xfId="2" applyFont="1" applyBorder="1" applyAlignment="1">
      <alignment vertical="center" shrinkToFit="1"/>
    </xf>
    <xf numFmtId="0" fontId="7" fillId="0" borderId="7" xfId="0" applyFont="1" applyBorder="1" applyAlignment="1">
      <alignment horizontal="right" vertical="center"/>
    </xf>
    <xf numFmtId="38" fontId="7" fillId="0" borderId="7" xfId="1" applyFont="1" applyFill="1" applyBorder="1" applyAlignment="1">
      <alignment vertical="center"/>
    </xf>
    <xf numFmtId="38" fontId="7" fillId="0" borderId="0" xfId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38" fontId="6" fillId="0" borderId="5" xfId="1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16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38" fontId="11" fillId="0" borderId="10" xfId="1" applyFont="1" applyFill="1" applyBorder="1" applyAlignment="1">
      <alignment vertical="center"/>
    </xf>
    <xf numFmtId="0" fontId="11" fillId="0" borderId="21" xfId="0" applyFont="1" applyBorder="1" applyAlignment="1">
      <alignment horizontal="right" vertical="center"/>
    </xf>
    <xf numFmtId="38" fontId="4" fillId="0" borderId="17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38" fontId="12" fillId="0" borderId="0" xfId="0" applyNumberFormat="1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56" fontId="0" fillId="0" borderId="0" xfId="0" applyNumberFormat="1" applyAlignment="1">
      <alignment vertical="center"/>
    </xf>
    <xf numFmtId="56" fontId="0" fillId="0" borderId="6" xfId="0" applyNumberFormat="1" applyBorder="1" applyAlignment="1">
      <alignment vertical="center"/>
    </xf>
    <xf numFmtId="38" fontId="0" fillId="0" borderId="0" xfId="0" applyNumberFormat="1" applyAlignment="1">
      <alignment horizontal="left" vertical="center"/>
    </xf>
    <xf numFmtId="38" fontId="0" fillId="0" borderId="0" xfId="0" applyNumberFormat="1"/>
    <xf numFmtId="177" fontId="11" fillId="0" borderId="23" xfId="0" applyNumberFormat="1" applyFont="1" applyBorder="1" applyAlignment="1">
      <alignment horizontal="left"/>
    </xf>
    <xf numFmtId="0" fontId="1" fillId="0" borderId="0" xfId="3">
      <alignment vertical="center"/>
    </xf>
    <xf numFmtId="178" fontId="1" fillId="0" borderId="0" xfId="3" applyNumberFormat="1">
      <alignment vertical="center"/>
    </xf>
    <xf numFmtId="14" fontId="1" fillId="0" borderId="0" xfId="3" applyNumberFormat="1">
      <alignment vertical="center"/>
    </xf>
  </cellXfs>
  <cellStyles count="4">
    <cellStyle name="桁区切り" xfId="1" builtinId="6"/>
    <cellStyle name="標準" xfId="0" builtinId="0"/>
    <cellStyle name="標準 2" xfId="3" xr:uid="{1F14A221-7BE6-404E-9F80-C008C09170C8}"/>
    <cellStyle name="標準_Sheet1" xfId="2" xr:uid="{06BA95DD-0F2D-488A-8626-0CAD315AC873}"/>
  </cellStyles>
  <dxfs count="0"/>
  <tableStyles count="0" defaultTableStyle="TableStyleMedium9" defaultPivotStyle="PivotStyleLight16"/>
  <colors>
    <mruColors>
      <color rgb="FFE2FEDE"/>
      <color rgb="FFFFFFCC"/>
      <color rgb="FFFFFFA3"/>
      <color rgb="FFFFFF81"/>
      <color rgb="FFFFDDFF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"/>
  <sheetViews>
    <sheetView zoomScale="90" zoomScaleNormal="90" zoomScaleSheetLayoutView="77" workbookViewId="0">
      <pane ySplit="2" topLeftCell="A3" activePane="bottomLeft" state="frozen"/>
      <selection pane="bottomLeft"/>
    </sheetView>
  </sheetViews>
  <sheetFormatPr defaultRowHeight="24" x14ac:dyDescent="0.25"/>
  <cols>
    <col min="1" max="1" width="10.75" customWidth="1"/>
    <col min="2" max="2" width="35.25" customWidth="1"/>
    <col min="3" max="3" width="21.875" style="11" customWidth="1"/>
    <col min="4" max="4" width="20.625" style="12" customWidth="1"/>
    <col min="5" max="5" width="19" style="11" customWidth="1"/>
    <col min="6" max="6" width="13.5" customWidth="1"/>
    <col min="7" max="7" width="5.25" customWidth="1"/>
    <col min="8" max="8" width="10.125" customWidth="1"/>
    <col min="9" max="9" width="12.125" customWidth="1"/>
    <col min="10" max="10" width="9.125" customWidth="1"/>
    <col min="11" max="11" width="0.125" hidden="1" customWidth="1"/>
    <col min="12" max="12" width="12.75" hidden="1" customWidth="1"/>
    <col min="13" max="13" width="9.625" hidden="1" customWidth="1"/>
    <col min="14" max="14" width="11.625" hidden="1" customWidth="1"/>
    <col min="15" max="15" width="11.875" hidden="1" customWidth="1"/>
    <col min="16" max="16" width="7.5" hidden="1" customWidth="1"/>
    <col min="17" max="17" width="0.5" customWidth="1"/>
    <col min="18" max="22" width="13.25" customWidth="1"/>
    <col min="23" max="23" width="9.625" bestFit="1" customWidth="1"/>
    <col min="26" max="26" width="9.625" bestFit="1" customWidth="1"/>
  </cols>
  <sheetData>
    <row r="1" spans="1:22" ht="36.75" customHeight="1" x14ac:dyDescent="0.25">
      <c r="A1" s="10" t="s">
        <v>0</v>
      </c>
      <c r="B1" s="11"/>
      <c r="D1" s="12" t="s">
        <v>1</v>
      </c>
      <c r="E1" s="73">
        <v>46058</v>
      </c>
      <c r="F1" s="73"/>
      <c r="H1" t="s">
        <v>2</v>
      </c>
      <c r="I1" s="13" t="s">
        <v>3</v>
      </c>
      <c r="K1" t="s">
        <v>4</v>
      </c>
      <c r="N1" t="s">
        <v>5</v>
      </c>
      <c r="O1" t="s">
        <v>6</v>
      </c>
    </row>
    <row r="2" spans="1:22" s="67" customFormat="1" ht="36.75" customHeight="1" thickBot="1" x14ac:dyDescent="0.2">
      <c r="A2" s="62" t="s">
        <v>45</v>
      </c>
      <c r="B2" s="14" t="s">
        <v>7</v>
      </c>
      <c r="C2" s="14" t="s">
        <v>8</v>
      </c>
      <c r="D2" s="15" t="s">
        <v>9</v>
      </c>
      <c r="E2" s="14" t="s">
        <v>10</v>
      </c>
      <c r="F2" s="16" t="s">
        <v>11</v>
      </c>
      <c r="G2" s="17" t="s">
        <v>12</v>
      </c>
      <c r="H2" s="16" t="s">
        <v>13</v>
      </c>
      <c r="I2" s="16" t="s">
        <v>14</v>
      </c>
      <c r="J2" s="16" t="s">
        <v>15</v>
      </c>
      <c r="K2" s="63" t="s">
        <v>16</v>
      </c>
      <c r="L2" s="64" t="s">
        <v>17</v>
      </c>
      <c r="M2" s="64" t="s">
        <v>18</v>
      </c>
      <c r="N2" s="64" t="s">
        <v>19</v>
      </c>
      <c r="O2" s="64" t="s">
        <v>20</v>
      </c>
      <c r="P2" s="65" t="s">
        <v>21</v>
      </c>
      <c r="Q2" s="66"/>
      <c r="R2" s="66"/>
      <c r="S2" s="66"/>
      <c r="T2" s="66"/>
      <c r="U2" s="66"/>
    </row>
    <row r="3" spans="1:22" s="67" customFormat="1" ht="37.5" customHeight="1" thickTop="1" x14ac:dyDescent="0.15">
      <c r="A3" s="18">
        <v>61</v>
      </c>
      <c r="B3" s="19" t="s">
        <v>46</v>
      </c>
      <c r="C3" s="2"/>
      <c r="D3" s="5">
        <f t="shared" ref="D3:D27" si="0">C3-H3-I3-J3</f>
        <v>0</v>
      </c>
      <c r="E3" s="20" t="str">
        <f t="shared" ref="E3:E29" si="1">IF(C3="","",D3-F3)</f>
        <v/>
      </c>
      <c r="F3" s="21" t="str">
        <f>IF(D3="","",IF(D3=0,"",IF(D3&lt;30000,605,IF(D3&gt;=30000,770))))</f>
        <v/>
      </c>
      <c r="G3" s="1">
        <v>0</v>
      </c>
      <c r="H3" s="1">
        <v>0</v>
      </c>
      <c r="I3" s="1"/>
      <c r="J3" s="22"/>
      <c r="K3" s="23"/>
      <c r="L3" s="24"/>
      <c r="M3" s="24"/>
      <c r="N3" s="24"/>
      <c r="O3" s="24"/>
      <c r="P3" s="25"/>
      <c r="S3" s="26"/>
    </row>
    <row r="4" spans="1:22" s="67" customFormat="1" ht="37.5" customHeight="1" x14ac:dyDescent="0.15">
      <c r="A4" s="27">
        <v>81</v>
      </c>
      <c r="B4" s="19" t="s">
        <v>23</v>
      </c>
      <c r="C4" s="2">
        <v>18810</v>
      </c>
      <c r="D4" s="5">
        <f t="shared" si="0"/>
        <v>18246</v>
      </c>
      <c r="E4" s="20">
        <f t="shared" si="1"/>
        <v>17641</v>
      </c>
      <c r="F4" s="28">
        <f>IF(D4="","",IF(D4=0,"",IF(D4&lt;30000,605,IF(D4&gt;=30000,770))))</f>
        <v>605</v>
      </c>
      <c r="G4" s="1">
        <v>0</v>
      </c>
      <c r="H4" s="1">
        <v>0</v>
      </c>
      <c r="I4" s="1">
        <f>S4</f>
        <v>564</v>
      </c>
      <c r="J4" s="22"/>
      <c r="K4" s="23"/>
      <c r="L4" s="24"/>
      <c r="M4" s="24"/>
      <c r="N4" s="24"/>
      <c r="O4" s="24"/>
      <c r="P4" s="25"/>
      <c r="S4" s="29">
        <f>INT(C4*0.03)</f>
        <v>564</v>
      </c>
      <c r="U4" s="67">
        <v>3</v>
      </c>
    </row>
    <row r="5" spans="1:22" s="67" customFormat="1" ht="37.5" customHeight="1" x14ac:dyDescent="0.15">
      <c r="A5" s="27">
        <v>85</v>
      </c>
      <c r="B5" s="19" t="s">
        <v>22</v>
      </c>
      <c r="C5" s="2"/>
      <c r="D5" s="5">
        <f t="shared" si="0"/>
        <v>0</v>
      </c>
      <c r="E5" s="20" t="str">
        <f t="shared" si="1"/>
        <v/>
      </c>
      <c r="F5" s="28" t="str">
        <f t="shared" ref="F5:F9" si="2">IF(D5="","",IF(D5=0,"",IF(D5&lt;30000,605,IF(D5&gt;=30000,770))))</f>
        <v/>
      </c>
      <c r="G5" s="1"/>
      <c r="H5" s="1"/>
      <c r="I5" s="1"/>
      <c r="J5" s="22"/>
      <c r="K5" s="23"/>
      <c r="L5" s="24"/>
      <c r="M5" s="24"/>
      <c r="N5" s="24"/>
      <c r="O5" s="24"/>
      <c r="P5" s="25"/>
      <c r="R5" s="67" t="s">
        <v>69</v>
      </c>
      <c r="S5" s="30"/>
    </row>
    <row r="6" spans="1:22" s="67" customFormat="1" ht="37.5" customHeight="1" x14ac:dyDescent="0.15">
      <c r="A6" s="18">
        <v>101</v>
      </c>
      <c r="B6" s="19" t="s">
        <v>24</v>
      </c>
      <c r="C6" s="2"/>
      <c r="D6" s="5">
        <f t="shared" si="0"/>
        <v>0</v>
      </c>
      <c r="E6" s="20" t="str">
        <f t="shared" si="1"/>
        <v/>
      </c>
      <c r="F6" s="28" t="str">
        <f t="shared" si="2"/>
        <v/>
      </c>
      <c r="G6" s="1">
        <v>0</v>
      </c>
      <c r="H6" s="1">
        <v>0</v>
      </c>
      <c r="I6" s="1"/>
      <c r="J6" s="22"/>
      <c r="K6" s="23"/>
      <c r="L6" s="24"/>
      <c r="M6" s="24"/>
      <c r="N6" s="24"/>
      <c r="O6" s="24"/>
      <c r="P6" s="25"/>
      <c r="S6" s="26"/>
    </row>
    <row r="7" spans="1:22" s="67" customFormat="1" ht="37.5" customHeight="1" x14ac:dyDescent="0.15">
      <c r="A7" s="27">
        <v>103</v>
      </c>
      <c r="B7" s="19" t="s">
        <v>25</v>
      </c>
      <c r="C7" s="2"/>
      <c r="D7" s="5">
        <f t="shared" si="0"/>
        <v>0</v>
      </c>
      <c r="E7" s="20" t="str">
        <f t="shared" si="1"/>
        <v/>
      </c>
      <c r="F7" s="28" t="str">
        <f t="shared" si="2"/>
        <v/>
      </c>
      <c r="G7" s="1">
        <v>0</v>
      </c>
      <c r="H7" s="1">
        <v>0</v>
      </c>
      <c r="I7" s="1"/>
      <c r="J7" s="22"/>
      <c r="K7" s="23"/>
      <c r="L7" s="24"/>
      <c r="M7" s="24"/>
      <c r="N7" s="24"/>
      <c r="O7" s="24"/>
      <c r="P7" s="25"/>
      <c r="S7" s="26"/>
      <c r="T7" s="68"/>
      <c r="U7" s="67">
        <v>2</v>
      </c>
      <c r="V7" s="67" t="s">
        <v>43</v>
      </c>
    </row>
    <row r="8" spans="1:22" s="67" customFormat="1" ht="37.5" customHeight="1" x14ac:dyDescent="0.15">
      <c r="A8" s="18">
        <v>111</v>
      </c>
      <c r="B8" s="19" t="s">
        <v>67</v>
      </c>
      <c r="C8" s="2">
        <v>808791</v>
      </c>
      <c r="D8" s="5">
        <f t="shared" si="0"/>
        <v>808791</v>
      </c>
      <c r="E8" s="20">
        <f t="shared" si="1"/>
        <v>808021</v>
      </c>
      <c r="F8" s="28">
        <f t="shared" si="2"/>
        <v>770</v>
      </c>
      <c r="G8" s="1">
        <v>0</v>
      </c>
      <c r="H8" s="1">
        <v>0</v>
      </c>
      <c r="I8" s="1"/>
      <c r="J8" s="22"/>
      <c r="K8" s="23"/>
      <c r="L8" s="24"/>
      <c r="M8" s="24"/>
      <c r="N8" s="24"/>
      <c r="O8" s="24"/>
      <c r="P8" s="25"/>
      <c r="S8" s="26"/>
      <c r="U8" s="67">
        <v>3</v>
      </c>
    </row>
    <row r="9" spans="1:22" s="67" customFormat="1" ht="37.5" hidden="1" customHeight="1" x14ac:dyDescent="0.15">
      <c r="A9" s="27">
        <v>112</v>
      </c>
      <c r="B9" s="19" t="s">
        <v>66</v>
      </c>
      <c r="C9" s="2"/>
      <c r="D9" s="5">
        <f t="shared" si="0"/>
        <v>0</v>
      </c>
      <c r="E9" s="20" t="str">
        <f t="shared" si="1"/>
        <v/>
      </c>
      <c r="F9" s="28" t="str">
        <f t="shared" si="2"/>
        <v/>
      </c>
      <c r="G9" s="1"/>
      <c r="H9" s="1"/>
      <c r="I9" s="1"/>
      <c r="J9" s="22"/>
      <c r="K9" s="23"/>
      <c r="L9" s="24"/>
      <c r="M9" s="24"/>
      <c r="N9" s="24"/>
      <c r="O9" s="24"/>
      <c r="P9" s="25"/>
      <c r="S9" s="31" t="s">
        <v>59</v>
      </c>
    </row>
    <row r="10" spans="1:22" s="67" customFormat="1" ht="37.5" customHeight="1" x14ac:dyDescent="0.15">
      <c r="A10" s="27">
        <v>123</v>
      </c>
      <c r="B10" s="19" t="s">
        <v>26</v>
      </c>
      <c r="C10" s="2"/>
      <c r="D10" s="5">
        <f t="shared" si="0"/>
        <v>0</v>
      </c>
      <c r="E10" s="20" t="str">
        <f t="shared" si="1"/>
        <v/>
      </c>
      <c r="F10" s="28" t="str">
        <f>IF(D10="","",IF(D10=0,"",IF(D10&lt;30000,330,IF(D10&gt;=30000,550))))</f>
        <v/>
      </c>
      <c r="G10" s="1">
        <v>0</v>
      </c>
      <c r="H10" s="1">
        <v>0</v>
      </c>
      <c r="I10" s="1"/>
      <c r="J10" s="22"/>
      <c r="K10" s="23"/>
      <c r="L10" s="24"/>
      <c r="M10" s="24"/>
      <c r="N10" s="24"/>
      <c r="O10" s="24"/>
      <c r="P10" s="25"/>
      <c r="S10" s="26"/>
    </row>
    <row r="11" spans="1:22" s="67" customFormat="1" ht="36.75" hidden="1" customHeight="1" x14ac:dyDescent="0.15">
      <c r="A11" s="18">
        <v>125</v>
      </c>
      <c r="B11" s="19" t="s">
        <v>47</v>
      </c>
      <c r="C11" s="2"/>
      <c r="D11" s="5">
        <f t="shared" si="0"/>
        <v>0</v>
      </c>
      <c r="E11" s="20" t="str">
        <f t="shared" si="1"/>
        <v/>
      </c>
      <c r="F11" s="28" t="str">
        <f>IF(D11="","",IF(D11=0,"",IF(D11&lt;30000,660,IF(D11&gt;=30000,880))))</f>
        <v/>
      </c>
      <c r="G11" s="1"/>
      <c r="H11" s="1"/>
      <c r="I11" s="1"/>
      <c r="J11" s="22"/>
      <c r="K11" s="23"/>
      <c r="L11" s="24"/>
      <c r="M11" s="24"/>
      <c r="N11" s="24"/>
      <c r="O11" s="24"/>
      <c r="P11" s="25"/>
      <c r="S11" s="26"/>
    </row>
    <row r="12" spans="1:22" s="67" customFormat="1" ht="37.5" customHeight="1" x14ac:dyDescent="0.15">
      <c r="A12" s="27">
        <v>141</v>
      </c>
      <c r="B12" s="19" t="s">
        <v>58</v>
      </c>
      <c r="C12" s="2">
        <v>765781</v>
      </c>
      <c r="D12" s="5">
        <f t="shared" si="0"/>
        <v>765781</v>
      </c>
      <c r="E12" s="20">
        <f t="shared" si="1"/>
        <v>765011</v>
      </c>
      <c r="F12" s="28">
        <f>IF(D12="","",IF(D12=0,"",IF(D12&lt;30000,605,IF(D12&gt;=30000,770))))</f>
        <v>770</v>
      </c>
      <c r="G12" s="1"/>
      <c r="H12" s="1"/>
      <c r="I12" s="1"/>
      <c r="J12" s="22"/>
      <c r="K12" s="23"/>
      <c r="L12" s="24"/>
      <c r="M12" s="24"/>
      <c r="N12" s="24"/>
      <c r="O12" s="24"/>
      <c r="P12" s="25"/>
      <c r="S12" s="31"/>
    </row>
    <row r="13" spans="1:22" s="67" customFormat="1" ht="37.5" customHeight="1" x14ac:dyDescent="0.15">
      <c r="A13" s="18">
        <v>181</v>
      </c>
      <c r="B13" s="19" t="s">
        <v>37</v>
      </c>
      <c r="C13" s="2">
        <v>53680</v>
      </c>
      <c r="D13" s="5">
        <f t="shared" si="0"/>
        <v>53680</v>
      </c>
      <c r="E13" s="20">
        <f t="shared" si="1"/>
        <v>52910</v>
      </c>
      <c r="F13" s="28">
        <f t="shared" ref="F13:F15" si="3">IF(D13="","",IF(D13=0,"",IF(D13&lt;30000,605,IF(D13&gt;=30000,770))))</f>
        <v>770</v>
      </c>
      <c r="G13" s="1"/>
      <c r="H13" s="1"/>
      <c r="I13" s="1"/>
      <c r="J13" s="22"/>
      <c r="K13" s="23"/>
      <c r="L13" s="24"/>
      <c r="M13" s="24"/>
      <c r="N13" s="24"/>
      <c r="O13" s="24"/>
      <c r="P13" s="25"/>
      <c r="S13" s="32"/>
    </row>
    <row r="14" spans="1:22" s="67" customFormat="1" ht="37.5" hidden="1" customHeight="1" x14ac:dyDescent="0.15">
      <c r="A14" s="27">
        <v>187</v>
      </c>
      <c r="B14" s="19" t="s">
        <v>55</v>
      </c>
      <c r="C14" s="2"/>
      <c r="D14" s="5">
        <f t="shared" si="0"/>
        <v>0</v>
      </c>
      <c r="E14" s="20" t="str">
        <f t="shared" si="1"/>
        <v/>
      </c>
      <c r="F14" s="28" t="str">
        <f t="shared" si="3"/>
        <v/>
      </c>
      <c r="G14" s="1"/>
      <c r="H14" s="1"/>
      <c r="I14" s="1"/>
      <c r="J14" s="22"/>
      <c r="K14" s="23"/>
      <c r="L14" s="24"/>
      <c r="M14" s="24"/>
      <c r="N14" s="24"/>
      <c r="O14" s="24"/>
      <c r="P14" s="25"/>
      <c r="R14" s="33" t="s">
        <v>65</v>
      </c>
      <c r="S14" s="31"/>
    </row>
    <row r="15" spans="1:22" s="67" customFormat="1" ht="37.5" customHeight="1" x14ac:dyDescent="0.15">
      <c r="A15" s="18">
        <v>205</v>
      </c>
      <c r="B15" s="19" t="s">
        <v>28</v>
      </c>
      <c r="C15" s="2"/>
      <c r="D15" s="5">
        <f t="shared" si="0"/>
        <v>0</v>
      </c>
      <c r="E15" s="20" t="str">
        <f t="shared" si="1"/>
        <v/>
      </c>
      <c r="F15" s="28" t="str">
        <f t="shared" si="3"/>
        <v/>
      </c>
      <c r="G15" s="1">
        <v>0</v>
      </c>
      <c r="H15" s="1">
        <v>0</v>
      </c>
      <c r="I15" s="1"/>
      <c r="J15" s="22"/>
      <c r="K15" s="23"/>
      <c r="L15" s="24"/>
      <c r="M15" s="24"/>
      <c r="N15" s="24"/>
      <c r="O15" s="24"/>
      <c r="P15" s="25"/>
      <c r="S15" s="26"/>
    </row>
    <row r="16" spans="1:22" s="67" customFormat="1" ht="37.5" customHeight="1" x14ac:dyDescent="0.15">
      <c r="A16" s="18">
        <v>207</v>
      </c>
      <c r="B16" s="19" t="s">
        <v>71</v>
      </c>
      <c r="C16" s="2"/>
      <c r="D16" s="5">
        <f t="shared" si="0"/>
        <v>0</v>
      </c>
      <c r="E16" s="20" t="str">
        <f t="shared" si="1"/>
        <v/>
      </c>
      <c r="F16" s="28" t="str">
        <f>IF(D16="","",IF(D16=0,"",IF(D16&lt;30000,110,IF(D16&gt;=30000,330))))</f>
        <v/>
      </c>
      <c r="G16" s="1">
        <v>0</v>
      </c>
      <c r="H16" s="1">
        <v>0</v>
      </c>
      <c r="I16" s="1"/>
      <c r="J16" s="22"/>
      <c r="K16" s="23"/>
      <c r="L16" s="24"/>
      <c r="M16" s="24"/>
      <c r="N16" s="24"/>
      <c r="O16" s="24"/>
      <c r="P16" s="25"/>
      <c r="S16" s="26" t="s">
        <v>72</v>
      </c>
    </row>
    <row r="17" spans="1:25" s="67" customFormat="1" ht="37.5" customHeight="1" x14ac:dyDescent="0.15">
      <c r="A17" s="18">
        <v>211</v>
      </c>
      <c r="B17" s="19" t="s">
        <v>29</v>
      </c>
      <c r="C17" s="2"/>
      <c r="D17" s="5">
        <f t="shared" si="0"/>
        <v>0</v>
      </c>
      <c r="E17" s="20" t="str">
        <f t="shared" si="1"/>
        <v/>
      </c>
      <c r="F17" s="28" t="str">
        <f>IF(D17="","",IF(D17=0,"",IF(D17&lt;30000,605,IF(D17&gt;=30000,770))))</f>
        <v/>
      </c>
      <c r="G17" s="1"/>
      <c r="H17" s="1"/>
      <c r="I17" s="1"/>
      <c r="J17" s="22"/>
      <c r="K17" s="23"/>
      <c r="L17" s="24"/>
      <c r="M17" s="24"/>
      <c r="N17" s="24"/>
      <c r="O17" s="24"/>
      <c r="P17" s="25"/>
      <c r="S17" s="26"/>
      <c r="U17" s="67">
        <v>1.5</v>
      </c>
    </row>
    <row r="18" spans="1:25" s="67" customFormat="1" ht="37.5" customHeight="1" x14ac:dyDescent="0.15">
      <c r="A18" s="27">
        <v>222</v>
      </c>
      <c r="B18" s="19" t="s">
        <v>48</v>
      </c>
      <c r="C18" s="2">
        <v>295581</v>
      </c>
      <c r="D18" s="5">
        <f t="shared" si="0"/>
        <v>295581</v>
      </c>
      <c r="E18" s="20">
        <f>IF(C18="","",D18-F18)</f>
        <v>294811</v>
      </c>
      <c r="F18" s="28">
        <f t="shared" ref="F18:F20" si="4">IF(D18="","",IF(D18=0,"",IF(D18&lt;30000,605,IF(D18&gt;=30000,770))))</f>
        <v>770</v>
      </c>
      <c r="G18" s="1">
        <v>0</v>
      </c>
      <c r="H18" s="1">
        <v>0</v>
      </c>
      <c r="I18" s="1"/>
      <c r="J18" s="22"/>
      <c r="K18" s="23"/>
      <c r="L18" s="24"/>
      <c r="M18" s="24"/>
      <c r="N18" s="24"/>
      <c r="O18" s="24"/>
      <c r="P18" s="25"/>
      <c r="R18" s="67" t="s">
        <v>69</v>
      </c>
      <c r="S18" s="29">
        <f>INT(C18*0.015)</f>
        <v>4433</v>
      </c>
      <c r="U18" s="67">
        <v>1.5</v>
      </c>
    </row>
    <row r="19" spans="1:25" s="67" customFormat="1" ht="37.5" customHeight="1" x14ac:dyDescent="0.15">
      <c r="A19" s="27">
        <v>224</v>
      </c>
      <c r="B19" s="19" t="s">
        <v>61</v>
      </c>
      <c r="C19" s="2"/>
      <c r="D19" s="5">
        <f t="shared" si="0"/>
        <v>0</v>
      </c>
      <c r="E19" s="20" t="str">
        <f t="shared" ref="E19" si="5">IF(C19="","",D19-F19)</f>
        <v/>
      </c>
      <c r="F19" s="28" t="str">
        <f t="shared" si="4"/>
        <v/>
      </c>
      <c r="G19" s="1">
        <v>0</v>
      </c>
      <c r="H19" s="1">
        <v>0</v>
      </c>
      <c r="I19" s="1"/>
      <c r="J19" s="22"/>
      <c r="K19" s="23"/>
      <c r="L19" s="24"/>
      <c r="M19" s="24"/>
      <c r="N19" s="24"/>
      <c r="O19" s="24"/>
      <c r="P19" s="25"/>
    </row>
    <row r="20" spans="1:25" s="67" customFormat="1" ht="37.5" customHeight="1" x14ac:dyDescent="0.15">
      <c r="A20" s="27">
        <v>231</v>
      </c>
      <c r="B20" s="19" t="s">
        <v>56</v>
      </c>
      <c r="C20" s="2">
        <v>67560</v>
      </c>
      <c r="D20" s="5">
        <f t="shared" si="0"/>
        <v>67560</v>
      </c>
      <c r="E20" s="20">
        <f t="shared" si="1"/>
        <v>66790</v>
      </c>
      <c r="F20" s="28">
        <f t="shared" si="4"/>
        <v>770</v>
      </c>
      <c r="G20" s="1"/>
      <c r="H20" s="1"/>
      <c r="I20" s="1"/>
      <c r="J20" s="22"/>
      <c r="K20" s="23"/>
      <c r="L20" s="24"/>
      <c r="M20" s="24"/>
      <c r="N20" s="24"/>
      <c r="O20" s="24"/>
      <c r="P20" s="25"/>
      <c r="S20" s="69"/>
      <c r="T20" s="69"/>
    </row>
    <row r="21" spans="1:25" s="67" customFormat="1" ht="37.5" customHeight="1" x14ac:dyDescent="0.15">
      <c r="A21" s="27">
        <v>311</v>
      </c>
      <c r="B21" s="19" t="s">
        <v>30</v>
      </c>
      <c r="C21" s="2"/>
      <c r="D21" s="5">
        <f t="shared" si="0"/>
        <v>0</v>
      </c>
      <c r="E21" s="20" t="str">
        <f t="shared" si="1"/>
        <v/>
      </c>
      <c r="F21" s="28" t="str">
        <f>IF(D21="","",IF(D21=0,"",IF(D21&lt;30000,110,IF(D21&gt;=30000,330))))</f>
        <v/>
      </c>
      <c r="G21" s="1">
        <v>0</v>
      </c>
      <c r="H21" s="1">
        <v>0</v>
      </c>
      <c r="I21" s="1"/>
      <c r="J21" s="22"/>
      <c r="K21" s="23"/>
      <c r="L21" s="24"/>
      <c r="M21" s="24"/>
      <c r="N21" s="24"/>
      <c r="O21" s="24"/>
      <c r="P21" s="25"/>
      <c r="S21" s="69"/>
    </row>
    <row r="22" spans="1:25" s="67" customFormat="1" ht="37.5" hidden="1" customHeight="1" x14ac:dyDescent="0.15">
      <c r="A22" s="27">
        <v>317</v>
      </c>
      <c r="B22" s="19" t="s">
        <v>57</v>
      </c>
      <c r="C22" s="2"/>
      <c r="D22" s="5">
        <f t="shared" si="0"/>
        <v>0</v>
      </c>
      <c r="E22" s="20" t="str">
        <f t="shared" si="1"/>
        <v/>
      </c>
      <c r="F22" s="28" t="str">
        <f>IF(D22="","",IF(D22=0,"",IF(D22&lt;30000,660,IF(D22&gt;=30000,880))))</f>
        <v/>
      </c>
      <c r="G22" s="1">
        <v>0</v>
      </c>
      <c r="H22" s="1">
        <v>0</v>
      </c>
      <c r="I22" s="1"/>
      <c r="J22" s="22"/>
      <c r="K22" s="23"/>
      <c r="L22" s="24"/>
      <c r="M22" s="24"/>
      <c r="N22" s="24"/>
      <c r="O22" s="24"/>
      <c r="P22" s="25"/>
    </row>
    <row r="23" spans="1:25" s="67" customFormat="1" ht="37.5" customHeight="1" x14ac:dyDescent="0.15">
      <c r="A23" s="27">
        <v>321</v>
      </c>
      <c r="B23" s="19" t="s">
        <v>31</v>
      </c>
      <c r="C23" s="2"/>
      <c r="D23" s="5">
        <f t="shared" si="0"/>
        <v>0</v>
      </c>
      <c r="E23" s="20" t="str">
        <f t="shared" si="1"/>
        <v/>
      </c>
      <c r="F23" s="28" t="str">
        <f>IF(D23="","",IF(D23=0,"",IF(D23&lt;30000,605,IF(D23&gt;=30000,770))))</f>
        <v/>
      </c>
      <c r="G23" s="1">
        <v>0</v>
      </c>
      <c r="H23" s="1">
        <v>0</v>
      </c>
      <c r="I23" s="1"/>
      <c r="J23" s="22"/>
      <c r="K23" s="23"/>
      <c r="L23" s="24"/>
      <c r="M23" s="24"/>
      <c r="N23" s="24"/>
      <c r="O23" s="24"/>
      <c r="P23" s="25"/>
    </row>
    <row r="24" spans="1:25" s="67" customFormat="1" ht="36.75" hidden="1" customHeight="1" x14ac:dyDescent="0.15">
      <c r="A24" s="18">
        <v>371</v>
      </c>
      <c r="B24" s="19" t="s">
        <v>32</v>
      </c>
      <c r="C24" s="2"/>
      <c r="D24" s="5">
        <f t="shared" si="0"/>
        <v>0</v>
      </c>
      <c r="E24" s="20" t="str">
        <f t="shared" si="1"/>
        <v/>
      </c>
      <c r="F24" s="28" t="str">
        <f t="shared" ref="F24:F32" si="6">IF(D24="","",IF(D24=0,"",IF(D24&lt;30000,605,IF(D24&gt;=30000,770))))</f>
        <v/>
      </c>
      <c r="G24" s="1">
        <v>0</v>
      </c>
      <c r="H24" s="1">
        <v>0</v>
      </c>
      <c r="I24" s="1"/>
      <c r="J24" s="22"/>
      <c r="K24" s="23"/>
      <c r="L24" s="24"/>
      <c r="M24" s="24"/>
      <c r="N24" s="24"/>
      <c r="O24" s="24"/>
      <c r="P24" s="25"/>
      <c r="S24" s="69"/>
    </row>
    <row r="25" spans="1:25" s="67" customFormat="1" ht="36.75" hidden="1" customHeight="1" x14ac:dyDescent="0.15">
      <c r="A25" s="27">
        <v>345</v>
      </c>
      <c r="B25" s="19" t="s">
        <v>49</v>
      </c>
      <c r="C25" s="2"/>
      <c r="D25" s="5">
        <f t="shared" si="0"/>
        <v>0</v>
      </c>
      <c r="E25" s="20" t="str">
        <f t="shared" si="1"/>
        <v/>
      </c>
      <c r="F25" s="28" t="str">
        <f t="shared" si="6"/>
        <v/>
      </c>
      <c r="G25" s="1"/>
      <c r="H25" s="1"/>
      <c r="I25" s="1"/>
      <c r="J25" s="22"/>
      <c r="K25" s="23"/>
      <c r="L25" s="24"/>
      <c r="M25" s="24"/>
      <c r="N25" s="24"/>
      <c r="O25" s="24"/>
      <c r="P25" s="25"/>
      <c r="S25" s="69"/>
      <c r="U25" s="67">
        <v>1.5</v>
      </c>
    </row>
    <row r="26" spans="1:25" s="67" customFormat="1" ht="37.5" customHeight="1" x14ac:dyDescent="0.15">
      <c r="A26" s="27">
        <v>383</v>
      </c>
      <c r="B26" s="19" t="s">
        <v>54</v>
      </c>
      <c r="C26" s="2">
        <v>326029</v>
      </c>
      <c r="D26" s="5">
        <f t="shared" si="0"/>
        <v>319509</v>
      </c>
      <c r="E26" s="20">
        <f t="shared" si="1"/>
        <v>318739</v>
      </c>
      <c r="F26" s="28">
        <f t="shared" si="6"/>
        <v>770</v>
      </c>
      <c r="G26" s="1"/>
      <c r="H26" s="1"/>
      <c r="I26" s="1">
        <f>S26</f>
        <v>6520</v>
      </c>
      <c r="J26" s="22"/>
      <c r="K26" s="23"/>
      <c r="L26" s="24"/>
      <c r="M26" s="24"/>
      <c r="N26" s="24"/>
      <c r="O26" s="24"/>
      <c r="P26" s="25"/>
      <c r="S26" s="29">
        <f>INT(C26*0.02)</f>
        <v>6520</v>
      </c>
    </row>
    <row r="27" spans="1:25" s="67" customFormat="1" ht="37.5" customHeight="1" x14ac:dyDescent="0.15">
      <c r="A27" s="34">
        <v>392</v>
      </c>
      <c r="B27" s="35" t="s">
        <v>64</v>
      </c>
      <c r="C27" s="2"/>
      <c r="D27" s="5">
        <f t="shared" si="0"/>
        <v>0</v>
      </c>
      <c r="E27" s="20" t="str">
        <f t="shared" si="1"/>
        <v/>
      </c>
      <c r="F27" s="28" t="str">
        <f t="shared" si="6"/>
        <v/>
      </c>
      <c r="G27" s="1"/>
      <c r="H27" s="1"/>
      <c r="I27" s="1"/>
      <c r="J27" s="22"/>
      <c r="K27" s="23"/>
      <c r="L27" s="24"/>
      <c r="M27" s="24"/>
      <c r="N27" s="24"/>
      <c r="O27" s="24"/>
      <c r="P27" s="25"/>
      <c r="S27" s="29"/>
    </row>
    <row r="28" spans="1:25" s="67" customFormat="1" ht="37.5" hidden="1" customHeight="1" x14ac:dyDescent="0.15">
      <c r="A28" s="36">
        <v>411</v>
      </c>
      <c r="B28" s="37" t="s">
        <v>70</v>
      </c>
      <c r="C28" s="2"/>
      <c r="D28" s="5">
        <f t="shared" ref="D28" si="7">C28-H28-I28-J28</f>
        <v>0</v>
      </c>
      <c r="E28" s="20" t="str">
        <f t="shared" ref="E28" si="8">IF(C28="","",D28-F28)</f>
        <v/>
      </c>
      <c r="F28" s="28" t="str">
        <f t="shared" ref="F28" si="9">IF(D28="","",IF(D28=0,"",IF(D28&lt;30000,605,IF(D28&gt;=30000,770))))</f>
        <v/>
      </c>
      <c r="G28" s="1"/>
      <c r="H28" s="1"/>
      <c r="I28" s="1"/>
      <c r="J28" s="22"/>
      <c r="K28" s="23"/>
      <c r="L28" s="24"/>
      <c r="M28" s="24"/>
      <c r="N28" s="24"/>
      <c r="O28" s="24"/>
      <c r="P28" s="25"/>
      <c r="S28" s="29"/>
    </row>
    <row r="29" spans="1:25" s="67" customFormat="1" ht="37.5" customHeight="1" x14ac:dyDescent="0.15">
      <c r="A29" s="18">
        <v>421</v>
      </c>
      <c r="B29" s="19" t="s">
        <v>68</v>
      </c>
      <c r="C29" s="2">
        <v>61600</v>
      </c>
      <c r="D29" s="5">
        <f>C29-H29-I29-J29</f>
        <v>60676</v>
      </c>
      <c r="E29" s="20">
        <f t="shared" si="1"/>
        <v>59906</v>
      </c>
      <c r="F29" s="28">
        <f t="shared" si="6"/>
        <v>770</v>
      </c>
      <c r="G29" s="1"/>
      <c r="H29" s="1"/>
      <c r="I29" s="1">
        <f>S29</f>
        <v>924</v>
      </c>
      <c r="J29" s="22"/>
      <c r="K29" s="23"/>
      <c r="L29" s="24"/>
      <c r="M29" s="24"/>
      <c r="N29" s="24"/>
      <c r="O29" s="24"/>
      <c r="P29" s="25"/>
      <c r="S29" s="29">
        <f>INT(C29*0.015)</f>
        <v>924</v>
      </c>
      <c r="U29" s="67">
        <v>1.5</v>
      </c>
    </row>
    <row r="30" spans="1:25" s="67" customFormat="1" ht="36.75" hidden="1" customHeight="1" x14ac:dyDescent="0.15">
      <c r="A30" s="18">
        <v>441</v>
      </c>
      <c r="B30" s="19" t="s">
        <v>50</v>
      </c>
      <c r="C30" s="2"/>
      <c r="D30" s="5">
        <f>C30-H30-I30-J30</f>
        <v>0</v>
      </c>
      <c r="E30" s="20" t="str">
        <f>IF(C30="","",D30-F30)</f>
        <v/>
      </c>
      <c r="F30" s="28" t="str">
        <f t="shared" si="6"/>
        <v/>
      </c>
      <c r="G30" s="1">
        <v>0</v>
      </c>
      <c r="H30" s="1">
        <v>0</v>
      </c>
      <c r="I30" s="1"/>
      <c r="J30" s="22"/>
      <c r="K30" s="23"/>
      <c r="L30" s="24"/>
      <c r="M30" s="24"/>
      <c r="N30" s="24"/>
      <c r="O30" s="24"/>
      <c r="P30" s="25"/>
      <c r="S30" s="69"/>
    </row>
    <row r="31" spans="1:25" s="67" customFormat="1" ht="37.5" customHeight="1" x14ac:dyDescent="0.15">
      <c r="A31" s="18">
        <v>461</v>
      </c>
      <c r="B31" s="19" t="s">
        <v>33</v>
      </c>
      <c r="C31" s="2">
        <v>875062</v>
      </c>
      <c r="D31" s="5">
        <f>C31-H31-I31-J31</f>
        <v>875062</v>
      </c>
      <c r="E31" s="20">
        <f t="shared" ref="E31:E42" si="10">IF(C31="","",D31-F31)</f>
        <v>874292</v>
      </c>
      <c r="F31" s="28">
        <f t="shared" si="6"/>
        <v>770</v>
      </c>
      <c r="G31" s="1">
        <v>0</v>
      </c>
      <c r="H31" s="1"/>
      <c r="I31" s="1"/>
      <c r="J31" s="22"/>
      <c r="K31" s="23"/>
      <c r="L31" s="24"/>
      <c r="M31" s="24"/>
      <c r="N31" s="24"/>
      <c r="O31" s="24"/>
      <c r="P31" s="25"/>
      <c r="S31" s="69"/>
    </row>
    <row r="32" spans="1:25" s="67" customFormat="1" ht="37.5" customHeight="1" x14ac:dyDescent="0.15">
      <c r="A32" s="27">
        <v>462</v>
      </c>
      <c r="B32" s="19" t="s">
        <v>62</v>
      </c>
      <c r="C32" s="2">
        <v>510510</v>
      </c>
      <c r="D32" s="5">
        <f t="shared" ref="D32:D42" si="11">C32-H32-I32-J32</f>
        <v>510510</v>
      </c>
      <c r="E32" s="20">
        <f t="shared" si="10"/>
        <v>509740</v>
      </c>
      <c r="F32" s="28">
        <f t="shared" si="6"/>
        <v>770</v>
      </c>
      <c r="G32" s="1"/>
      <c r="H32" s="1"/>
      <c r="I32" s="1"/>
      <c r="J32" s="22"/>
      <c r="K32" s="23"/>
      <c r="L32" s="24"/>
      <c r="M32" s="24"/>
      <c r="N32" s="24"/>
      <c r="O32" s="24"/>
      <c r="P32" s="25"/>
      <c r="S32" s="69"/>
      <c r="U32" s="67">
        <v>2</v>
      </c>
      <c r="V32" s="67" t="s">
        <v>43</v>
      </c>
      <c r="Y32" s="38">
        <v>315</v>
      </c>
    </row>
    <row r="33" spans="1:25" s="67" customFormat="1" ht="37.5" customHeight="1" x14ac:dyDescent="0.15">
      <c r="A33" s="18">
        <v>501</v>
      </c>
      <c r="B33" s="19" t="s">
        <v>34</v>
      </c>
      <c r="C33" s="2"/>
      <c r="D33" s="5">
        <f t="shared" si="11"/>
        <v>0</v>
      </c>
      <c r="E33" s="20" t="str">
        <f t="shared" si="10"/>
        <v/>
      </c>
      <c r="F33" s="28" t="str">
        <f>IF(D33="","",IF(D33=0,"",IF(D33&lt;30000,330,IF(D33&gt;=30000,550))))</f>
        <v/>
      </c>
      <c r="G33" s="1">
        <v>0</v>
      </c>
      <c r="H33" s="1">
        <v>0</v>
      </c>
      <c r="I33" s="1"/>
      <c r="J33" s="22"/>
      <c r="K33" s="39"/>
      <c r="L33" s="39"/>
      <c r="M33" s="39"/>
      <c r="N33" s="39"/>
      <c r="O33" s="39"/>
      <c r="P33" s="40"/>
      <c r="S33" s="69"/>
    </row>
    <row r="34" spans="1:25" s="67" customFormat="1" ht="36.75" hidden="1" customHeight="1" x14ac:dyDescent="0.15">
      <c r="A34" s="27">
        <v>521</v>
      </c>
      <c r="B34" s="19" t="s">
        <v>63</v>
      </c>
      <c r="C34" s="2"/>
      <c r="D34" s="5">
        <f t="shared" si="11"/>
        <v>0</v>
      </c>
      <c r="E34" s="20" t="str">
        <f t="shared" si="10"/>
        <v/>
      </c>
      <c r="F34" s="28" t="str">
        <f t="shared" ref="F34" si="12">IF(D34="","",IF(D34=0,"",IF(D34&lt;30000,660,IF(D34&gt;=30000,880))))</f>
        <v/>
      </c>
      <c r="G34" s="1"/>
      <c r="H34" s="1"/>
      <c r="I34" s="1"/>
      <c r="J34" s="22"/>
      <c r="K34" s="23"/>
      <c r="L34" s="24"/>
      <c r="M34" s="24"/>
      <c r="N34" s="24"/>
      <c r="O34" s="24"/>
      <c r="P34" s="25"/>
      <c r="S34" s="41"/>
      <c r="V34" s="67">
        <v>2</v>
      </c>
    </row>
    <row r="35" spans="1:25" s="67" customFormat="1" ht="37.5" customHeight="1" x14ac:dyDescent="0.15">
      <c r="A35" s="18">
        <v>544</v>
      </c>
      <c r="B35" s="19" t="s">
        <v>52</v>
      </c>
      <c r="C35" s="2">
        <v>83068</v>
      </c>
      <c r="D35" s="5">
        <f t="shared" si="11"/>
        <v>83068</v>
      </c>
      <c r="E35" s="20">
        <f t="shared" si="10"/>
        <v>82298</v>
      </c>
      <c r="F35" s="28">
        <f>IF(D35="","",IF(D35=0,"",IF(D35&lt;30000,605,IF(D35&gt;=30000,770))))</f>
        <v>770</v>
      </c>
      <c r="G35" s="1"/>
      <c r="H35" s="1"/>
      <c r="I35" s="1"/>
      <c r="J35" s="22"/>
      <c r="K35" s="23"/>
      <c r="L35" s="24"/>
      <c r="M35" s="24"/>
      <c r="N35" s="24"/>
      <c r="O35" s="42" t="s">
        <v>44</v>
      </c>
      <c r="P35" s="70"/>
    </row>
    <row r="36" spans="1:25" s="67" customFormat="1" ht="37.5" customHeight="1" x14ac:dyDescent="0.15">
      <c r="A36" s="27">
        <v>547</v>
      </c>
      <c r="B36" s="19" t="s">
        <v>51</v>
      </c>
      <c r="C36" s="2"/>
      <c r="D36" s="5">
        <f t="shared" si="11"/>
        <v>0</v>
      </c>
      <c r="E36" s="20" t="str">
        <f t="shared" si="10"/>
        <v/>
      </c>
      <c r="F36" s="28" t="str">
        <f t="shared" ref="F36:F37" si="13">IF(D36="","",IF(D36=0,"",IF(D36&lt;30000,605,IF(D36&gt;=30000,770))))</f>
        <v/>
      </c>
      <c r="G36" s="1"/>
      <c r="H36" s="1"/>
      <c r="I36" s="1"/>
      <c r="J36" s="22"/>
      <c r="K36" s="23"/>
      <c r="L36" s="24"/>
      <c r="M36" s="24"/>
      <c r="N36" s="24"/>
      <c r="O36" s="24"/>
      <c r="P36" s="25"/>
      <c r="S36" s="69"/>
    </row>
    <row r="37" spans="1:25" s="67" customFormat="1" ht="37.5" customHeight="1" x14ac:dyDescent="0.15">
      <c r="A37" s="18">
        <v>601</v>
      </c>
      <c r="B37" s="19" t="s">
        <v>27</v>
      </c>
      <c r="C37" s="2"/>
      <c r="D37" s="5">
        <f>C37-H37-I37-J37</f>
        <v>0</v>
      </c>
      <c r="E37" s="20" t="str">
        <f>IF(C37="","",D37-F37)</f>
        <v/>
      </c>
      <c r="F37" s="28" t="str">
        <f t="shared" si="13"/>
        <v/>
      </c>
      <c r="G37" s="1">
        <v>0</v>
      </c>
      <c r="H37" s="1">
        <v>0</v>
      </c>
      <c r="I37" s="1"/>
      <c r="J37" s="22"/>
      <c r="K37" s="23"/>
      <c r="L37" s="24"/>
      <c r="M37" s="24"/>
      <c r="N37" s="24"/>
      <c r="O37" s="24"/>
      <c r="P37" s="25"/>
      <c r="S37" s="69"/>
    </row>
    <row r="38" spans="1:25" s="67" customFormat="1" ht="37.5" customHeight="1" x14ac:dyDescent="0.15">
      <c r="A38" s="27">
        <v>605</v>
      </c>
      <c r="B38" s="43" t="s">
        <v>36</v>
      </c>
      <c r="C38" s="2">
        <v>111100</v>
      </c>
      <c r="D38" s="5">
        <f t="shared" si="11"/>
        <v>111100</v>
      </c>
      <c r="E38" s="20">
        <f t="shared" si="10"/>
        <v>110550</v>
      </c>
      <c r="F38" s="28">
        <f>IF(D38="","",IF(D38=0,"",IF(D38&lt;30000,330,IF(D38&gt;=30000,550))))</f>
        <v>550</v>
      </c>
      <c r="G38" s="1"/>
      <c r="H38" s="1"/>
      <c r="I38" s="1"/>
      <c r="J38" s="22"/>
      <c r="K38" s="23"/>
      <c r="L38" s="24"/>
      <c r="M38" s="24"/>
      <c r="N38" s="24"/>
      <c r="O38" s="24"/>
      <c r="P38" s="25"/>
      <c r="S38" s="69"/>
      <c r="U38" s="67">
        <v>1.8</v>
      </c>
    </row>
    <row r="39" spans="1:25" s="67" customFormat="1" ht="37.5" customHeight="1" x14ac:dyDescent="0.15">
      <c r="A39" s="18">
        <v>631</v>
      </c>
      <c r="B39" s="19" t="s">
        <v>60</v>
      </c>
      <c r="C39" s="2">
        <v>296164</v>
      </c>
      <c r="D39" s="5">
        <f t="shared" si="11"/>
        <v>296164</v>
      </c>
      <c r="E39" s="20">
        <f t="shared" si="10"/>
        <v>296164</v>
      </c>
      <c r="F39" s="28"/>
      <c r="G39" s="1"/>
      <c r="H39" s="1">
        <v>0</v>
      </c>
      <c r="I39" s="1"/>
      <c r="J39" s="22"/>
      <c r="K39" s="23"/>
      <c r="L39" s="24"/>
      <c r="M39" s="24"/>
      <c r="N39" s="24"/>
      <c r="O39" s="24"/>
      <c r="P39" s="25"/>
      <c r="S39" s="31"/>
    </row>
    <row r="40" spans="1:25" s="67" customFormat="1" ht="37.5" customHeight="1" x14ac:dyDescent="0.15">
      <c r="A40" s="27">
        <v>701</v>
      </c>
      <c r="B40" s="43" t="s">
        <v>35</v>
      </c>
      <c r="C40" s="2"/>
      <c r="D40" s="5">
        <f t="shared" si="11"/>
        <v>0</v>
      </c>
      <c r="E40" s="20" t="str">
        <f t="shared" si="10"/>
        <v/>
      </c>
      <c r="F40" s="28" t="str">
        <f t="shared" ref="F40" si="14">IF(D40="","",IF(D40=0,"",IF(D40&lt;30000,330,IF(D40&gt;=30000,550))))</f>
        <v/>
      </c>
      <c r="G40" s="1"/>
      <c r="H40" s="1"/>
      <c r="I40" s="1">
        <f>S40</f>
        <v>0</v>
      </c>
      <c r="J40" s="22"/>
      <c r="K40" s="23"/>
      <c r="L40" s="24"/>
      <c r="M40" s="24"/>
      <c r="N40" s="24"/>
      <c r="O40" s="24"/>
      <c r="P40" s="25"/>
      <c r="S40" s="29">
        <f>INT(C40*0.02)</f>
        <v>0</v>
      </c>
      <c r="U40" s="67">
        <v>2</v>
      </c>
    </row>
    <row r="41" spans="1:25" s="67" customFormat="1" ht="37.5" customHeight="1" x14ac:dyDescent="0.15">
      <c r="A41" s="18">
        <v>801</v>
      </c>
      <c r="B41" s="19" t="s">
        <v>53</v>
      </c>
      <c r="C41" s="2"/>
      <c r="D41" s="5">
        <f t="shared" si="11"/>
        <v>0</v>
      </c>
      <c r="E41" s="20" t="str">
        <f t="shared" si="10"/>
        <v/>
      </c>
      <c r="F41" s="28" t="str">
        <f>IF(D41="","",IF(D41=0,"",IF(D41&lt;30000,605,IF(D41&gt;=30000,770))))</f>
        <v/>
      </c>
      <c r="G41" s="1"/>
      <c r="H41" s="1"/>
      <c r="I41" s="1"/>
      <c r="J41" s="22"/>
      <c r="K41" s="23"/>
      <c r="L41" s="24"/>
      <c r="M41" s="24"/>
      <c r="N41" s="24"/>
      <c r="O41" s="24"/>
      <c r="P41" s="25"/>
      <c r="S41" s="44"/>
      <c r="U41" s="67">
        <v>3</v>
      </c>
    </row>
    <row r="42" spans="1:25" s="67" customFormat="1" ht="37.5" customHeight="1" thickBot="1" x14ac:dyDescent="0.2">
      <c r="A42" s="45">
        <v>1701</v>
      </c>
      <c r="B42" s="46" t="s">
        <v>38</v>
      </c>
      <c r="C42" s="4"/>
      <c r="D42" s="6">
        <f t="shared" si="11"/>
        <v>0</v>
      </c>
      <c r="E42" s="47" t="str">
        <f t="shared" si="10"/>
        <v/>
      </c>
      <c r="F42" s="48" t="str">
        <f>IF(D42="","",IF(D42=0,"",IF(D42&lt;30000,605,IF(D42&gt;=30000,770))))</f>
        <v/>
      </c>
      <c r="G42" s="3"/>
      <c r="H42" s="3"/>
      <c r="I42" s="3"/>
      <c r="J42" s="49"/>
      <c r="K42" s="50"/>
      <c r="L42" s="51"/>
      <c r="M42" s="51"/>
      <c r="N42" s="51"/>
      <c r="O42" s="51"/>
      <c r="P42" s="52"/>
      <c r="S42" s="31"/>
    </row>
    <row r="43" spans="1:25" s="67" customFormat="1" ht="37.5" customHeight="1" thickTop="1" thickBot="1" x14ac:dyDescent="0.2">
      <c r="A43" s="53" t="s">
        <v>39</v>
      </c>
      <c r="B43" s="54" t="s">
        <v>40</v>
      </c>
      <c r="C43" s="9">
        <f t="shared" ref="C43:J43" si="15">SUM(C3:C42)</f>
        <v>4273736</v>
      </c>
      <c r="D43" s="9">
        <f t="shared" si="15"/>
        <v>4265728</v>
      </c>
      <c r="E43" s="9">
        <f t="shared" si="15"/>
        <v>4256873</v>
      </c>
      <c r="F43" s="9">
        <f t="shared" si="15"/>
        <v>8855</v>
      </c>
      <c r="G43" s="8">
        <f t="shared" si="15"/>
        <v>0</v>
      </c>
      <c r="H43" s="8">
        <f t="shared" si="15"/>
        <v>0</v>
      </c>
      <c r="I43" s="8">
        <f t="shared" si="15"/>
        <v>8008</v>
      </c>
      <c r="J43" s="8">
        <f t="shared" si="15"/>
        <v>0</v>
      </c>
      <c r="K43" s="55"/>
      <c r="L43" s="56"/>
      <c r="M43" s="56"/>
      <c r="N43" s="56"/>
      <c r="O43" s="56"/>
      <c r="P43" s="56"/>
      <c r="R43" s="71"/>
      <c r="S43" s="69"/>
      <c r="T43" s="57">
        <f>SUM(E43:I43)</f>
        <v>4273736</v>
      </c>
    </row>
    <row r="44" spans="1:25" x14ac:dyDescent="0.25">
      <c r="D44" s="12" t="s">
        <v>41</v>
      </c>
      <c r="E44" s="11" t="s">
        <v>10</v>
      </c>
      <c r="F44" t="s">
        <v>42</v>
      </c>
      <c r="H44" t="s">
        <v>13</v>
      </c>
      <c r="I44" t="s">
        <v>14</v>
      </c>
      <c r="J44" t="s">
        <v>15</v>
      </c>
      <c r="K44" t="s">
        <v>16</v>
      </c>
      <c r="L44" t="s">
        <v>17</v>
      </c>
      <c r="M44" t="s">
        <v>18</v>
      </c>
      <c r="N44" t="s">
        <v>19</v>
      </c>
      <c r="O44" t="s">
        <v>20</v>
      </c>
      <c r="S44" s="67"/>
    </row>
    <row r="45" spans="1:25" x14ac:dyDescent="0.25">
      <c r="J45" s="72"/>
    </row>
    <row r="46" spans="1:25" x14ac:dyDescent="0.25">
      <c r="A46" s="58"/>
      <c r="B46" s="59"/>
      <c r="D46" s="7"/>
    </row>
    <row r="47" spans="1:25" x14ac:dyDescent="0.25">
      <c r="D47" s="60"/>
      <c r="E47" s="61">
        <f>C43-E43-F43-G43-H43-I43-J43</f>
        <v>0</v>
      </c>
      <c r="F47" s="72"/>
      <c r="I47" s="61">
        <f>C43-D43-I43</f>
        <v>0</v>
      </c>
      <c r="R47" s="72">
        <f>I43-S47</f>
        <v>-4433</v>
      </c>
      <c r="S47">
        <f>SUM(S3:S42)</f>
        <v>12441</v>
      </c>
      <c r="Y47">
        <v>7</v>
      </c>
    </row>
  </sheetData>
  <autoFilter ref="A2:P44" xr:uid="{00000000-0009-0000-0000-000000000000}">
    <sortState xmlns:xlrd2="http://schemas.microsoft.com/office/spreadsheetml/2017/richdata2" ref="A3:P56">
      <sortCondition ref="A2:A56"/>
    </sortState>
  </autoFilter>
  <mergeCells count="1">
    <mergeCell ref="E1:F1"/>
  </mergeCells>
  <phoneticPr fontId="2"/>
  <printOptions horizontalCentered="1" verticalCentered="1"/>
  <pageMargins left="0.43307086614173229" right="0.43307086614173229" top="0.39370078740157483" bottom="0.39370078740157483" header="0.6692913385826772" footer="0.19685039370078741"/>
  <pageSetup paperSize="9" scale="60" fitToHeight="0" orientation="portrait" r:id="rId1"/>
  <headerFooter alignWithMargins="0">
    <oddFooter xml:space="preserve">&amp;C&amp;P / &amp;N </oddFooter>
  </headerFooter>
  <rowBreaks count="1" manualBreakCount="1">
    <brk id="43" max="24" man="1"/>
  </rowBreaks>
  <colBreaks count="1" manualBreakCount="1">
    <brk id="17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9537-EC2E-4DB4-A4F6-C15EDE9563FF}">
  <dimension ref="A1:S43"/>
  <sheetViews>
    <sheetView tabSelected="1" topLeftCell="D1" workbookViewId="0">
      <selection activeCell="D1" sqref="D1"/>
    </sheetView>
  </sheetViews>
  <sheetFormatPr defaultRowHeight="13.5" x14ac:dyDescent="0.15"/>
  <cols>
    <col min="1" max="1" width="7.5" style="74" bestFit="1" customWidth="1"/>
    <col min="2" max="2" width="10.5" style="74" bestFit="1" customWidth="1"/>
    <col min="3" max="3" width="13" style="74" bestFit="1" customWidth="1"/>
    <col min="4" max="4" width="20.625" style="74" bestFit="1" customWidth="1"/>
    <col min="5" max="6" width="11" style="74" bestFit="1" customWidth="1"/>
    <col min="7" max="7" width="12.875" style="74" bestFit="1" customWidth="1"/>
    <col min="8" max="8" width="13.75" style="74" bestFit="1" customWidth="1"/>
    <col min="9" max="9" width="12.375" style="75" bestFit="1" customWidth="1"/>
    <col min="10" max="10" width="15.625" style="74" bestFit="1" customWidth="1"/>
    <col min="11" max="11" width="13" style="74" bestFit="1" customWidth="1"/>
    <col min="12" max="13" width="11" style="74" bestFit="1" customWidth="1"/>
    <col min="14" max="14" width="20.25" style="74" bestFit="1" customWidth="1"/>
    <col min="15" max="15" width="13.75" style="74" bestFit="1" customWidth="1"/>
    <col min="16" max="16" width="12.375" style="75" bestFit="1" customWidth="1"/>
    <col min="17" max="17" width="50.375" style="74" bestFit="1" customWidth="1"/>
    <col min="18" max="18" width="4.625" style="74" bestFit="1" customWidth="1"/>
    <col min="19" max="19" width="4.5" style="74" bestFit="1" customWidth="1"/>
    <col min="20" max="16384" width="9" style="74"/>
  </cols>
  <sheetData>
    <row r="1" spans="1:19" x14ac:dyDescent="0.15">
      <c r="A1" s="74" t="s">
        <v>73</v>
      </c>
      <c r="B1" s="74" t="s">
        <v>74</v>
      </c>
      <c r="C1" s="74" t="s">
        <v>75</v>
      </c>
      <c r="D1" s="74" t="s">
        <v>76</v>
      </c>
      <c r="E1" s="74" t="s">
        <v>77</v>
      </c>
      <c r="F1" s="74" t="s">
        <v>78</v>
      </c>
      <c r="G1" s="74" t="s">
        <v>79</v>
      </c>
      <c r="H1" s="74" t="s">
        <v>80</v>
      </c>
      <c r="I1" s="75" t="s">
        <v>154</v>
      </c>
      <c r="J1" s="74" t="s">
        <v>81</v>
      </c>
      <c r="K1" s="74" t="s">
        <v>82</v>
      </c>
      <c r="L1" s="74" t="s">
        <v>83</v>
      </c>
      <c r="M1" s="74" t="s">
        <v>84</v>
      </c>
      <c r="N1" s="74" t="s">
        <v>85</v>
      </c>
      <c r="O1" s="74" t="s">
        <v>86</v>
      </c>
      <c r="P1" s="75" t="s">
        <v>87</v>
      </c>
      <c r="Q1" s="74" t="s">
        <v>88</v>
      </c>
      <c r="R1" s="74" t="s">
        <v>89</v>
      </c>
      <c r="S1" s="74" t="s">
        <v>90</v>
      </c>
    </row>
    <row r="2" spans="1:19" x14ac:dyDescent="0.15">
      <c r="B2" s="76">
        <f>振込明細!$E$1</f>
        <v>46058</v>
      </c>
      <c r="C2" s="74" t="s">
        <v>91</v>
      </c>
      <c r="D2" s="74" t="str">
        <f>IF(IFERROR(VLOOKUP(振込明細!B3,変換MAP!A:B,2,FALSE),"")=0,"",IFERROR(VLOOKUP(振込明細!B3,変換MAP!A:B,2,FALSE),""))</f>
        <v>ＡＲＣ（株）</v>
      </c>
      <c r="G2" s="74" t="s">
        <v>92</v>
      </c>
      <c r="I2" s="75">
        <f>振込明細!C3</f>
        <v>0</v>
      </c>
      <c r="J2" s="74" t="s">
        <v>93</v>
      </c>
      <c r="N2" s="74" t="s">
        <v>92</v>
      </c>
      <c r="P2" s="75">
        <f>I2</f>
        <v>0</v>
      </c>
      <c r="Q2" s="74" t="str">
        <f>D2</f>
        <v>ＡＲＣ（株）</v>
      </c>
    </row>
    <row r="3" spans="1:19" x14ac:dyDescent="0.15">
      <c r="B3" s="76">
        <f>振込明細!$E$1</f>
        <v>46058</v>
      </c>
      <c r="C3" s="74" t="s">
        <v>91</v>
      </c>
      <c r="D3" s="74" t="str">
        <f>IF(IFERROR(VLOOKUP(振込明細!B4,変換MAP!A:B,2,FALSE),"")=0,"",IFERROR(VLOOKUP(振込明細!B4,変換MAP!A:B,2,FALSE),""))</f>
        <v>大高製紙（株）</v>
      </c>
      <c r="G3" s="74" t="s">
        <v>92</v>
      </c>
      <c r="I3" s="75">
        <f>振込明細!C4</f>
        <v>18810</v>
      </c>
      <c r="J3" s="74" t="s">
        <v>93</v>
      </c>
      <c r="N3" s="74" t="s">
        <v>92</v>
      </c>
      <c r="P3" s="75">
        <f t="shared" ref="P3:P43" si="0">I3</f>
        <v>18810</v>
      </c>
      <c r="Q3" s="74" t="str">
        <f t="shared" ref="Q3:Q41" si="1">D3</f>
        <v>大高製紙（株）</v>
      </c>
    </row>
    <row r="4" spans="1:19" x14ac:dyDescent="0.15">
      <c r="B4" s="76">
        <f>振込明細!$E$1</f>
        <v>46058</v>
      </c>
      <c r="C4" s="74" t="s">
        <v>91</v>
      </c>
      <c r="D4" s="74" t="str">
        <f>IF(IFERROR(VLOOKUP(振込明細!B5,変換MAP!A:B,2,FALSE),"")=0,"",IFERROR(VLOOKUP(振込明細!B5,変換MAP!A:B,2,FALSE),""))</f>
        <v>王子製袋（株）</v>
      </c>
      <c r="G4" s="74" t="s">
        <v>92</v>
      </c>
      <c r="I4" s="75">
        <f>振込明細!C5</f>
        <v>0</v>
      </c>
      <c r="J4" s="74" t="s">
        <v>93</v>
      </c>
      <c r="N4" s="74" t="s">
        <v>92</v>
      </c>
      <c r="P4" s="75">
        <f t="shared" si="0"/>
        <v>0</v>
      </c>
      <c r="Q4" s="74" t="str">
        <f t="shared" si="1"/>
        <v>王子製袋（株）</v>
      </c>
    </row>
    <row r="5" spans="1:19" x14ac:dyDescent="0.15">
      <c r="B5" s="76">
        <f>振込明細!$E$1</f>
        <v>46058</v>
      </c>
      <c r="C5" s="74" t="s">
        <v>91</v>
      </c>
      <c r="D5" s="74" t="str">
        <f>IF(IFERROR(VLOOKUP(振込明細!B6,変換MAP!A:B,2,FALSE),"")=0,"",IFERROR(VLOOKUP(振込明細!B6,変換MAP!A:B,2,FALSE),""))</f>
        <v>カミ商事（株）</v>
      </c>
      <c r="G5" s="74" t="s">
        <v>92</v>
      </c>
      <c r="I5" s="75">
        <f>振込明細!C6</f>
        <v>0</v>
      </c>
      <c r="J5" s="74" t="s">
        <v>93</v>
      </c>
      <c r="N5" s="74" t="s">
        <v>92</v>
      </c>
      <c r="P5" s="75">
        <f t="shared" si="0"/>
        <v>0</v>
      </c>
      <c r="Q5" s="74" t="str">
        <f t="shared" si="1"/>
        <v>カミ商事（株）</v>
      </c>
    </row>
    <row r="6" spans="1:19" x14ac:dyDescent="0.15">
      <c r="B6" s="76">
        <f>振込明細!$E$1</f>
        <v>46058</v>
      </c>
      <c r="C6" s="74" t="s">
        <v>91</v>
      </c>
      <c r="D6" s="74" t="str">
        <f>IF(IFERROR(VLOOKUP(振込明細!B7,変換MAP!A:B,2,FALSE),"")=0,"",IFERROR(VLOOKUP(振込明細!B7,変換MAP!A:B,2,FALSE),""))</f>
        <v>河野製紙（株）</v>
      </c>
      <c r="G6" s="74" t="s">
        <v>92</v>
      </c>
      <c r="I6" s="75">
        <f>振込明細!C7</f>
        <v>0</v>
      </c>
      <c r="J6" s="74" t="s">
        <v>93</v>
      </c>
      <c r="N6" s="74" t="s">
        <v>92</v>
      </c>
      <c r="P6" s="75">
        <f t="shared" si="0"/>
        <v>0</v>
      </c>
      <c r="Q6" s="74" t="str">
        <f t="shared" si="1"/>
        <v>河野製紙（株）</v>
      </c>
    </row>
    <row r="7" spans="1:19" x14ac:dyDescent="0.15">
      <c r="B7" s="76">
        <f>振込明細!$E$1</f>
        <v>46058</v>
      </c>
      <c r="C7" s="74" t="s">
        <v>91</v>
      </c>
      <c r="D7" s="74" t="str">
        <f>IF(IFERROR(VLOOKUP(振込明細!B8,変換MAP!A:B,2,FALSE),"")=0,"",IFERROR(VLOOKUP(振込明細!B8,変換MAP!A:B,2,FALSE),""))</f>
        <v>花王プロフェショナルｻｰﾋﾞｽ</v>
      </c>
      <c r="G7" s="74" t="s">
        <v>92</v>
      </c>
      <c r="I7" s="75">
        <f>振込明細!C8</f>
        <v>808791</v>
      </c>
      <c r="J7" s="74" t="s">
        <v>93</v>
      </c>
      <c r="N7" s="74" t="s">
        <v>92</v>
      </c>
      <c r="P7" s="75">
        <f t="shared" si="0"/>
        <v>808791</v>
      </c>
      <c r="Q7" s="74" t="str">
        <f t="shared" si="1"/>
        <v>花王プロフェショナルｻｰﾋﾞｽ</v>
      </c>
    </row>
    <row r="8" spans="1:19" x14ac:dyDescent="0.15">
      <c r="B8" s="76">
        <f>振込明細!$E$1</f>
        <v>46058</v>
      </c>
      <c r="C8" s="74" t="s">
        <v>91</v>
      </c>
      <c r="D8" s="74" t="str">
        <f>IF(IFERROR(VLOOKUP(振込明細!B9,変換MAP!A:B,2,FALSE),"")=0,"",IFERROR(VLOOKUP(振込明細!B9,変換MAP!A:B,2,FALSE),""))</f>
        <v/>
      </c>
      <c r="G8" s="74" t="s">
        <v>92</v>
      </c>
      <c r="I8" s="75">
        <f>振込明細!C9</f>
        <v>0</v>
      </c>
      <c r="J8" s="74" t="s">
        <v>93</v>
      </c>
      <c r="N8" s="74" t="s">
        <v>92</v>
      </c>
      <c r="P8" s="75">
        <f t="shared" si="0"/>
        <v>0</v>
      </c>
      <c r="Q8" s="74" t="str">
        <f t="shared" si="1"/>
        <v/>
      </c>
    </row>
    <row r="9" spans="1:19" x14ac:dyDescent="0.15">
      <c r="B9" s="76">
        <f>振込明細!$E$1</f>
        <v>46058</v>
      </c>
      <c r="C9" s="74" t="s">
        <v>91</v>
      </c>
      <c r="D9" s="74" t="str">
        <f>IF(IFERROR(VLOOKUP(振込明細!B10,変換MAP!A:B,2,FALSE),"")=0,"",IFERROR(VLOOKUP(振込明細!B10,変換MAP!A:B,2,FALSE),""))</f>
        <v>金星製紙（株）</v>
      </c>
      <c r="G9" s="74" t="s">
        <v>92</v>
      </c>
      <c r="I9" s="75">
        <f>振込明細!C10</f>
        <v>0</v>
      </c>
      <c r="J9" s="74" t="s">
        <v>93</v>
      </c>
      <c r="N9" s="74" t="s">
        <v>92</v>
      </c>
      <c r="P9" s="75">
        <f t="shared" si="0"/>
        <v>0</v>
      </c>
      <c r="Q9" s="74" t="str">
        <f t="shared" si="1"/>
        <v>金星製紙（株）</v>
      </c>
    </row>
    <row r="10" spans="1:19" x14ac:dyDescent="0.15">
      <c r="B10" s="76">
        <f>振込明細!$E$1</f>
        <v>46058</v>
      </c>
      <c r="C10" s="74" t="s">
        <v>91</v>
      </c>
      <c r="D10" s="74" t="str">
        <f>IF(IFERROR(VLOOKUP(振込明細!B11,変換MAP!A:B,2,FALSE),"")=0,"",IFERROR(VLOOKUP(振込明細!B11,変換MAP!A:B,2,FALSE),""))</f>
        <v>（株）キンセイ</v>
      </c>
      <c r="G10" s="74" t="s">
        <v>92</v>
      </c>
      <c r="I10" s="75">
        <f>振込明細!C11</f>
        <v>0</v>
      </c>
      <c r="J10" s="74" t="s">
        <v>93</v>
      </c>
      <c r="N10" s="74" t="s">
        <v>92</v>
      </c>
      <c r="P10" s="75">
        <f t="shared" si="0"/>
        <v>0</v>
      </c>
      <c r="Q10" s="74" t="str">
        <f t="shared" si="1"/>
        <v>（株）キンセイ</v>
      </c>
    </row>
    <row r="11" spans="1:19" x14ac:dyDescent="0.15">
      <c r="B11" s="76">
        <f>振込明細!$E$1</f>
        <v>46058</v>
      </c>
      <c r="C11" s="74" t="s">
        <v>91</v>
      </c>
      <c r="D11" s="74" t="str">
        <f>IF(IFERROR(VLOOKUP(振込明細!B12,変換MAP!A:B,2,FALSE),"")=0,"",IFERROR(VLOOKUP(振込明細!B12,変換MAP!A:B,2,FALSE),""))</f>
        <v>日本製紙クレシア（株）</v>
      </c>
      <c r="G11" s="74" t="s">
        <v>92</v>
      </c>
      <c r="I11" s="75">
        <f>振込明細!C12</f>
        <v>765781</v>
      </c>
      <c r="J11" s="74" t="s">
        <v>93</v>
      </c>
      <c r="N11" s="74" t="s">
        <v>92</v>
      </c>
      <c r="P11" s="75">
        <f t="shared" si="0"/>
        <v>765781</v>
      </c>
      <c r="Q11" s="74" t="str">
        <f t="shared" si="1"/>
        <v>日本製紙クレシア（株）</v>
      </c>
    </row>
    <row r="12" spans="1:19" x14ac:dyDescent="0.15">
      <c r="B12" s="76">
        <f>振込明細!$E$1</f>
        <v>46058</v>
      </c>
      <c r="C12" s="74" t="s">
        <v>91</v>
      </c>
      <c r="D12" s="74" t="str">
        <f>IF(IFERROR(VLOOKUP(振込明細!B13,変換MAP!A:B,2,FALSE),"")=0,"",IFERROR(VLOOKUP(振込明細!B13,変換MAP!A:B,2,FALSE),""))</f>
        <v>コトブキ製紙（株）</v>
      </c>
      <c r="G12" s="74" t="s">
        <v>92</v>
      </c>
      <c r="I12" s="75">
        <f>振込明細!C13</f>
        <v>53680</v>
      </c>
      <c r="J12" s="74" t="s">
        <v>93</v>
      </c>
      <c r="N12" s="74" t="s">
        <v>92</v>
      </c>
      <c r="P12" s="75">
        <f t="shared" si="0"/>
        <v>53680</v>
      </c>
      <c r="Q12" s="74" t="str">
        <f t="shared" si="1"/>
        <v>コトブキ製紙（株）</v>
      </c>
    </row>
    <row r="13" spans="1:19" x14ac:dyDescent="0.15">
      <c r="B13" s="76">
        <f>振込明細!$E$1</f>
        <v>46058</v>
      </c>
      <c r="C13" s="74" t="s">
        <v>91</v>
      </c>
      <c r="D13" s="74" t="str">
        <f>IF(IFERROR(VLOOKUP(振込明細!B14,変換MAP!A:B,2,FALSE),"")=0,"",IFERROR(VLOOKUP(振込明細!B14,変換MAP!A:B,2,FALSE),""))</f>
        <v>ゴークラ</v>
      </c>
      <c r="G13" s="74" t="s">
        <v>92</v>
      </c>
      <c r="I13" s="75">
        <f>振込明細!C14</f>
        <v>0</v>
      </c>
      <c r="J13" s="74" t="s">
        <v>93</v>
      </c>
      <c r="N13" s="74" t="s">
        <v>92</v>
      </c>
      <c r="P13" s="75">
        <f t="shared" si="0"/>
        <v>0</v>
      </c>
      <c r="Q13" s="74" t="str">
        <f t="shared" si="1"/>
        <v>ゴークラ</v>
      </c>
    </row>
    <row r="14" spans="1:19" x14ac:dyDescent="0.15">
      <c r="B14" s="76">
        <f>振込明細!$E$1</f>
        <v>46058</v>
      </c>
      <c r="C14" s="74" t="s">
        <v>91</v>
      </c>
      <c r="D14" s="74" t="str">
        <f>IF(IFERROR(VLOOKUP(振込明細!B15,変換MAP!A:B,2,FALSE),"")=0,"",IFERROR(VLOOKUP(振込明細!B15,変換MAP!A:B,2,FALSE),""))</f>
        <v>三昭紙業（株）</v>
      </c>
      <c r="G14" s="74" t="s">
        <v>92</v>
      </c>
      <c r="I14" s="75">
        <f>振込明細!C15</f>
        <v>0</v>
      </c>
      <c r="J14" s="74" t="s">
        <v>93</v>
      </c>
      <c r="N14" s="74" t="s">
        <v>92</v>
      </c>
      <c r="P14" s="75">
        <f t="shared" si="0"/>
        <v>0</v>
      </c>
      <c r="Q14" s="74" t="str">
        <f t="shared" si="1"/>
        <v>三昭紙業（株）</v>
      </c>
    </row>
    <row r="15" spans="1:19" x14ac:dyDescent="0.15">
      <c r="B15" s="76">
        <f>振込明細!$E$1</f>
        <v>46058</v>
      </c>
      <c r="C15" s="74" t="s">
        <v>91</v>
      </c>
      <c r="D15" s="74" t="str">
        <f>IF(IFERROR(VLOOKUP(振込明細!B16,変換MAP!A:B,2,FALSE),"")=0,"",IFERROR(VLOOKUP(振込明細!B16,変換MAP!A:B,2,FALSE),""))</f>
        <v>三興化学工業（株）</v>
      </c>
      <c r="G15" s="74" t="s">
        <v>92</v>
      </c>
      <c r="I15" s="75">
        <f>振込明細!C16</f>
        <v>0</v>
      </c>
      <c r="J15" s="74" t="s">
        <v>93</v>
      </c>
      <c r="N15" s="74" t="s">
        <v>92</v>
      </c>
      <c r="P15" s="75">
        <f t="shared" si="0"/>
        <v>0</v>
      </c>
      <c r="Q15" s="74" t="str">
        <f t="shared" si="1"/>
        <v>三興化学工業（株）</v>
      </c>
    </row>
    <row r="16" spans="1:19" x14ac:dyDescent="0.15">
      <c r="B16" s="76">
        <f>振込明細!$E$1</f>
        <v>46058</v>
      </c>
      <c r="C16" s="74" t="s">
        <v>91</v>
      </c>
      <c r="D16" s="74" t="str">
        <f>IF(IFERROR(VLOOKUP(振込明細!B17,変換MAP!A:B,2,FALSE),"")=0,"",IFERROR(VLOOKUP(振込明細!B17,変換MAP!A:B,2,FALSE),""))</f>
        <v>三友商事（株）</v>
      </c>
      <c r="G16" s="74" t="s">
        <v>92</v>
      </c>
      <c r="I16" s="75">
        <f>振込明細!C17</f>
        <v>0</v>
      </c>
      <c r="J16" s="74" t="s">
        <v>93</v>
      </c>
      <c r="N16" s="74" t="s">
        <v>92</v>
      </c>
      <c r="P16" s="75">
        <f t="shared" si="0"/>
        <v>0</v>
      </c>
      <c r="Q16" s="74" t="str">
        <f t="shared" si="1"/>
        <v>三友商事（株）</v>
      </c>
    </row>
    <row r="17" spans="2:17" x14ac:dyDescent="0.15">
      <c r="B17" s="76">
        <f>振込明細!$E$1</f>
        <v>46058</v>
      </c>
      <c r="C17" s="74" t="s">
        <v>91</v>
      </c>
      <c r="D17" s="74" t="str">
        <f>IF(IFERROR(VLOOKUP(振込明細!B18,変換MAP!A:B,2,FALSE),"")=0,"",IFERROR(VLOOKUP(振込明細!B18,変換MAP!A:B,2,FALSE),""))</f>
        <v>（株）シモジマ</v>
      </c>
      <c r="G17" s="74" t="s">
        <v>92</v>
      </c>
      <c r="I17" s="75">
        <f>振込明細!C18</f>
        <v>295581</v>
      </c>
      <c r="J17" s="74" t="s">
        <v>93</v>
      </c>
      <c r="N17" s="74" t="s">
        <v>92</v>
      </c>
      <c r="P17" s="75">
        <f t="shared" si="0"/>
        <v>295581</v>
      </c>
      <c r="Q17" s="74" t="str">
        <f t="shared" si="1"/>
        <v>（株）シモジマ</v>
      </c>
    </row>
    <row r="18" spans="2:17" x14ac:dyDescent="0.15">
      <c r="B18" s="76">
        <f>振込明細!$E$1</f>
        <v>46058</v>
      </c>
      <c r="C18" s="74" t="s">
        <v>91</v>
      </c>
      <c r="D18" s="74" t="str">
        <f>IF(IFERROR(VLOOKUP(振込明細!B19,変換MAP!A:B,2,FALSE),"")=0,"",IFERROR(VLOOKUP(振込明細!B19,変換MAP!A:B,2,FALSE),""))</f>
        <v>（有）シルバー化成工業所</v>
      </c>
      <c r="G18" s="74" t="s">
        <v>92</v>
      </c>
      <c r="I18" s="75">
        <f>振込明細!C19</f>
        <v>0</v>
      </c>
      <c r="J18" s="74" t="s">
        <v>93</v>
      </c>
      <c r="N18" s="74" t="s">
        <v>92</v>
      </c>
      <c r="P18" s="75">
        <f t="shared" si="0"/>
        <v>0</v>
      </c>
      <c r="Q18" s="74" t="str">
        <f t="shared" si="1"/>
        <v>（有）シルバー化成工業所</v>
      </c>
    </row>
    <row r="19" spans="2:17" x14ac:dyDescent="0.15">
      <c r="B19" s="76">
        <f>振込明細!$E$1</f>
        <v>46058</v>
      </c>
      <c r="C19" s="74" t="s">
        <v>91</v>
      </c>
      <c r="D19" s="74" t="str">
        <f>IF(IFERROR(VLOOKUP(振込明細!B20,変換MAP!A:B,2,FALSE),"")=0,"",IFERROR(VLOOKUP(振込明細!B20,変換MAP!A:B,2,FALSE),""))</f>
        <v>シャディ（株）</v>
      </c>
      <c r="G19" s="74" t="s">
        <v>92</v>
      </c>
      <c r="I19" s="75">
        <f>振込明細!C20</f>
        <v>67560</v>
      </c>
      <c r="J19" s="74" t="s">
        <v>93</v>
      </c>
      <c r="N19" s="74" t="s">
        <v>92</v>
      </c>
      <c r="P19" s="75">
        <f t="shared" si="0"/>
        <v>67560</v>
      </c>
      <c r="Q19" s="74" t="str">
        <f t="shared" si="1"/>
        <v>シャディ（株）</v>
      </c>
    </row>
    <row r="20" spans="2:17" x14ac:dyDescent="0.15">
      <c r="B20" s="76">
        <f>振込明細!$E$1</f>
        <v>46058</v>
      </c>
      <c r="C20" s="74" t="s">
        <v>91</v>
      </c>
      <c r="D20" s="74" t="str">
        <f>IF(IFERROR(VLOOKUP(振込明細!B21,変換MAP!A:B,2,FALSE),"")=0,"",IFERROR(VLOOKUP(振込明細!B21,変換MAP!A:B,2,FALSE),""))</f>
        <v>（株）田宮事務器</v>
      </c>
      <c r="G20" s="74" t="s">
        <v>92</v>
      </c>
      <c r="I20" s="75">
        <f>振込明細!C21</f>
        <v>0</v>
      </c>
      <c r="J20" s="74" t="s">
        <v>93</v>
      </c>
      <c r="N20" s="74" t="s">
        <v>92</v>
      </c>
      <c r="P20" s="75">
        <f t="shared" si="0"/>
        <v>0</v>
      </c>
      <c r="Q20" s="74" t="str">
        <f t="shared" si="1"/>
        <v>（株）田宮事務器</v>
      </c>
    </row>
    <row r="21" spans="2:17" x14ac:dyDescent="0.15">
      <c r="B21" s="76">
        <f>振込明細!$E$1</f>
        <v>46058</v>
      </c>
      <c r="C21" s="74" t="s">
        <v>91</v>
      </c>
      <c r="D21" s="74" t="str">
        <f>IF(IFERROR(VLOOKUP(振込明細!B22,変換MAP!A:B,2,FALSE),"")=0,"",IFERROR(VLOOKUP(振込明細!B22,変換MAP!A:B,2,FALSE),""))</f>
        <v>（株）立石春洋堂</v>
      </c>
      <c r="G21" s="74" t="s">
        <v>92</v>
      </c>
      <c r="I21" s="75">
        <f>振込明細!C22</f>
        <v>0</v>
      </c>
      <c r="J21" s="74" t="s">
        <v>93</v>
      </c>
      <c r="N21" s="74" t="s">
        <v>92</v>
      </c>
      <c r="P21" s="75">
        <f t="shared" si="0"/>
        <v>0</v>
      </c>
      <c r="Q21" s="74" t="str">
        <f t="shared" si="1"/>
        <v>（株）立石春洋堂</v>
      </c>
    </row>
    <row r="22" spans="2:17" x14ac:dyDescent="0.15">
      <c r="B22" s="76">
        <f>振込明細!$E$1</f>
        <v>46058</v>
      </c>
      <c r="C22" s="74" t="s">
        <v>91</v>
      </c>
      <c r="D22" s="74" t="str">
        <f>IF(IFERROR(VLOOKUP(振込明細!B23,変換MAP!A:B,2,FALSE),"")=0,"",IFERROR(VLOOKUP(振込明細!B23,変換MAP!A:B,2,FALSE),""))</f>
        <v>中日綿業（株）</v>
      </c>
      <c r="G22" s="74" t="s">
        <v>92</v>
      </c>
      <c r="I22" s="75">
        <f>振込明細!C23</f>
        <v>0</v>
      </c>
      <c r="J22" s="74" t="s">
        <v>93</v>
      </c>
      <c r="N22" s="74" t="s">
        <v>92</v>
      </c>
      <c r="P22" s="75">
        <f t="shared" si="0"/>
        <v>0</v>
      </c>
      <c r="Q22" s="74" t="str">
        <f t="shared" si="1"/>
        <v>中日綿業（株）</v>
      </c>
    </row>
    <row r="23" spans="2:17" x14ac:dyDescent="0.15">
      <c r="B23" s="76">
        <f>振込明細!$E$1</f>
        <v>46058</v>
      </c>
      <c r="C23" s="74" t="s">
        <v>91</v>
      </c>
      <c r="D23" s="74" t="str">
        <f>IF(IFERROR(VLOOKUP(振込明細!B24,変換MAP!A:B,2,FALSE),"")=0,"",IFERROR(VLOOKUP(振込明細!B24,変換MAP!A:B,2,FALSE),""))</f>
        <v>ツバメ工業（株）</v>
      </c>
      <c r="G23" s="74" t="s">
        <v>92</v>
      </c>
      <c r="I23" s="75">
        <f>振込明細!C24</f>
        <v>0</v>
      </c>
      <c r="J23" s="74" t="s">
        <v>93</v>
      </c>
      <c r="N23" s="74" t="s">
        <v>92</v>
      </c>
      <c r="P23" s="75">
        <f t="shared" si="0"/>
        <v>0</v>
      </c>
      <c r="Q23" s="74" t="str">
        <f t="shared" si="1"/>
        <v>ツバメ工業（株）</v>
      </c>
    </row>
    <row r="24" spans="2:17" x14ac:dyDescent="0.15">
      <c r="B24" s="76">
        <f>振込明細!$E$1</f>
        <v>46058</v>
      </c>
      <c r="C24" s="74" t="s">
        <v>91</v>
      </c>
      <c r="D24" s="74" t="str">
        <f>IF(IFERROR(VLOOKUP(振込明細!B25,変換MAP!A:B,2,FALSE),"")=0,"",IFERROR(VLOOKUP(振込明細!B25,変換MAP!A:B,2,FALSE),""))</f>
        <v/>
      </c>
      <c r="G24" s="74" t="s">
        <v>92</v>
      </c>
      <c r="I24" s="75">
        <f>振込明細!C25</f>
        <v>0</v>
      </c>
      <c r="J24" s="74" t="s">
        <v>93</v>
      </c>
      <c r="N24" s="74" t="s">
        <v>92</v>
      </c>
      <c r="P24" s="75">
        <f t="shared" si="0"/>
        <v>0</v>
      </c>
      <c r="Q24" s="74" t="str">
        <f t="shared" si="1"/>
        <v/>
      </c>
    </row>
    <row r="25" spans="2:17" x14ac:dyDescent="0.15">
      <c r="B25" s="76">
        <f>振込明細!$E$1</f>
        <v>46058</v>
      </c>
      <c r="C25" s="74" t="s">
        <v>91</v>
      </c>
      <c r="D25" s="74" t="str">
        <f>IF(IFERROR(VLOOKUP(振込明細!B26,変換MAP!A:B,2,FALSE),"")=0,"",IFERROR(VLOOKUP(振込明細!B26,変換MAP!A:B,2,FALSE),""))</f>
        <v>（株）トーヨ</v>
      </c>
      <c r="G25" s="74" t="s">
        <v>92</v>
      </c>
      <c r="I25" s="75">
        <f>振込明細!C26</f>
        <v>326029</v>
      </c>
      <c r="J25" s="74" t="s">
        <v>93</v>
      </c>
      <c r="N25" s="74" t="s">
        <v>92</v>
      </c>
      <c r="P25" s="75">
        <f t="shared" si="0"/>
        <v>326029</v>
      </c>
      <c r="Q25" s="74" t="str">
        <f t="shared" si="1"/>
        <v>（株）トーヨ</v>
      </c>
    </row>
    <row r="26" spans="2:17" x14ac:dyDescent="0.15">
      <c r="B26" s="76">
        <f>振込明細!$E$1</f>
        <v>46058</v>
      </c>
      <c r="C26" s="74" t="s">
        <v>91</v>
      </c>
      <c r="D26" s="74" t="str">
        <f>IF(IFERROR(VLOOKUP(振込明細!B27,変換MAP!A:B,2,FALSE),"")=0,"",IFERROR(VLOOKUP(振込明細!B27,変換MAP!A:B,2,FALSE),""))</f>
        <v/>
      </c>
      <c r="G26" s="74" t="s">
        <v>92</v>
      </c>
      <c r="I26" s="75">
        <f>振込明細!C27</f>
        <v>0</v>
      </c>
      <c r="J26" s="74" t="s">
        <v>93</v>
      </c>
      <c r="N26" s="74" t="s">
        <v>92</v>
      </c>
      <c r="P26" s="75">
        <f t="shared" si="0"/>
        <v>0</v>
      </c>
      <c r="Q26" s="74" t="str">
        <f t="shared" si="1"/>
        <v/>
      </c>
    </row>
    <row r="27" spans="2:17" x14ac:dyDescent="0.15">
      <c r="B27" s="76">
        <f>振込明細!$E$1</f>
        <v>46058</v>
      </c>
      <c r="C27" s="74" t="s">
        <v>91</v>
      </c>
      <c r="D27" s="74" t="str">
        <f>IF(IFERROR(VLOOKUP(振込明細!B28,変換MAP!A:B,2,FALSE),"")=0,"",IFERROR(VLOOKUP(振込明細!B28,変換MAP!A:B,2,FALSE),""))</f>
        <v/>
      </c>
      <c r="G27" s="74" t="s">
        <v>92</v>
      </c>
      <c r="I27" s="75">
        <f>振込明細!C28</f>
        <v>0</v>
      </c>
      <c r="J27" s="74" t="s">
        <v>93</v>
      </c>
      <c r="N27" s="74" t="s">
        <v>92</v>
      </c>
      <c r="P27" s="75">
        <f t="shared" si="0"/>
        <v>0</v>
      </c>
      <c r="Q27" s="74" t="str">
        <f t="shared" si="1"/>
        <v/>
      </c>
    </row>
    <row r="28" spans="2:17" x14ac:dyDescent="0.15">
      <c r="B28" s="76">
        <f>振込明細!$E$1</f>
        <v>46058</v>
      </c>
      <c r="C28" s="74" t="s">
        <v>91</v>
      </c>
      <c r="D28" s="74" t="str">
        <f>IF(IFERROR(VLOOKUP(振込明細!B29,変換MAP!A:B,2,FALSE),"")=0,"",IFERROR(VLOOKUP(振込明細!B29,変換MAP!A:B,2,FALSE),""))</f>
        <v>西日本衛材（株）</v>
      </c>
      <c r="G28" s="74" t="s">
        <v>92</v>
      </c>
      <c r="I28" s="75">
        <f>振込明細!C29</f>
        <v>61600</v>
      </c>
      <c r="J28" s="74" t="s">
        <v>93</v>
      </c>
      <c r="N28" s="74" t="s">
        <v>92</v>
      </c>
      <c r="P28" s="75">
        <f t="shared" si="0"/>
        <v>61600</v>
      </c>
      <c r="Q28" s="74" t="str">
        <f t="shared" si="1"/>
        <v>西日本衛材（株）</v>
      </c>
    </row>
    <row r="29" spans="2:17" x14ac:dyDescent="0.15">
      <c r="B29" s="76">
        <f>振込明細!$E$1</f>
        <v>46058</v>
      </c>
      <c r="C29" s="74" t="s">
        <v>91</v>
      </c>
      <c r="D29" s="74" t="str">
        <f>IF(IFERROR(VLOOKUP(振込明細!B30,変換MAP!A:B,2,FALSE),"")=0,"",IFERROR(VLOOKUP(振込明細!B30,変換MAP!A:B,2,FALSE),""))</f>
        <v>（株）ぬまご</v>
      </c>
      <c r="G29" s="74" t="s">
        <v>92</v>
      </c>
      <c r="I29" s="75">
        <f>振込明細!C30</f>
        <v>0</v>
      </c>
      <c r="J29" s="74" t="s">
        <v>93</v>
      </c>
      <c r="N29" s="74" t="s">
        <v>92</v>
      </c>
      <c r="P29" s="75">
        <f t="shared" si="0"/>
        <v>0</v>
      </c>
      <c r="Q29" s="74" t="str">
        <f t="shared" si="1"/>
        <v>（株）ぬまご</v>
      </c>
    </row>
    <row r="30" spans="2:17" x14ac:dyDescent="0.15">
      <c r="B30" s="76">
        <f>振込明細!$E$1</f>
        <v>46058</v>
      </c>
      <c r="C30" s="74" t="s">
        <v>91</v>
      </c>
      <c r="D30" s="74" t="str">
        <f>IF(IFERROR(VLOOKUP(振込明細!B31,変換MAP!A:B,2,FALSE),"")=0,"",IFERROR(VLOOKUP(振込明細!B31,変換MAP!A:B,2,FALSE),""))</f>
        <v>王子ネピア（株）</v>
      </c>
      <c r="G30" s="74" t="s">
        <v>92</v>
      </c>
      <c r="I30" s="75">
        <f>振込明細!C31</f>
        <v>875062</v>
      </c>
      <c r="J30" s="74" t="s">
        <v>93</v>
      </c>
      <c r="N30" s="74" t="s">
        <v>92</v>
      </c>
      <c r="P30" s="75">
        <f t="shared" si="0"/>
        <v>875062</v>
      </c>
      <c r="Q30" s="74" t="str">
        <f t="shared" si="1"/>
        <v>王子ネピア（株）</v>
      </c>
    </row>
    <row r="31" spans="2:17" x14ac:dyDescent="0.15">
      <c r="B31" s="76">
        <f>振込明細!$E$1</f>
        <v>46058</v>
      </c>
      <c r="C31" s="74" t="s">
        <v>91</v>
      </c>
      <c r="D31" s="74" t="str">
        <f>IF(IFERROR(VLOOKUP(振込明細!B32,変換MAP!A:B,2,FALSE),"")=0,"",IFERROR(VLOOKUP(振込明細!B32,変換MAP!A:B,2,FALSE),""))</f>
        <v>王子ネピア（直需）</v>
      </c>
      <c r="G31" s="74" t="s">
        <v>92</v>
      </c>
      <c r="I31" s="75">
        <f>振込明細!C32</f>
        <v>510510</v>
      </c>
      <c r="J31" s="74" t="s">
        <v>93</v>
      </c>
      <c r="N31" s="74" t="s">
        <v>92</v>
      </c>
      <c r="P31" s="75">
        <f t="shared" si="0"/>
        <v>510510</v>
      </c>
      <c r="Q31" s="74" t="str">
        <f t="shared" si="1"/>
        <v>王子ネピア（直需）</v>
      </c>
    </row>
    <row r="32" spans="2:17" x14ac:dyDescent="0.15">
      <c r="B32" s="76">
        <f>振込明細!$E$1</f>
        <v>46058</v>
      </c>
      <c r="C32" s="74" t="s">
        <v>91</v>
      </c>
      <c r="D32" s="74" t="str">
        <f>IF(IFERROR(VLOOKUP(振込明細!B33,変換MAP!A:B,2,FALSE),"")=0,"",IFERROR(VLOOKUP(振込明細!B33,変換MAP!A:B,2,FALSE),""))</f>
        <v>ハヤシ商事（株）</v>
      </c>
      <c r="G32" s="74" t="s">
        <v>92</v>
      </c>
      <c r="I32" s="75">
        <f>振込明細!C33</f>
        <v>0</v>
      </c>
      <c r="J32" s="74" t="s">
        <v>93</v>
      </c>
      <c r="N32" s="74" t="s">
        <v>92</v>
      </c>
      <c r="P32" s="75">
        <f t="shared" si="0"/>
        <v>0</v>
      </c>
      <c r="Q32" s="74" t="str">
        <f t="shared" si="1"/>
        <v>ハヤシ商事（株）</v>
      </c>
    </row>
    <row r="33" spans="2:17" x14ac:dyDescent="0.15">
      <c r="B33" s="76">
        <f>振込明細!$E$1</f>
        <v>46058</v>
      </c>
      <c r="C33" s="74" t="s">
        <v>91</v>
      </c>
      <c r="D33" s="74" t="str">
        <f>IF(IFERROR(VLOOKUP(振込明細!B34,変換MAP!A:B,2,FALSE),"")=0,"",IFERROR(VLOOKUP(振込明細!B34,変換MAP!A:B,2,FALSE),""))</f>
        <v>ヒノマル（株）</v>
      </c>
      <c r="G33" s="74" t="s">
        <v>92</v>
      </c>
      <c r="I33" s="75">
        <f>振込明細!C34</f>
        <v>0</v>
      </c>
      <c r="J33" s="74" t="s">
        <v>93</v>
      </c>
      <c r="N33" s="74" t="s">
        <v>92</v>
      </c>
      <c r="P33" s="75">
        <f t="shared" si="0"/>
        <v>0</v>
      </c>
      <c r="Q33" s="74" t="str">
        <f t="shared" si="1"/>
        <v>ヒノマル（株）</v>
      </c>
    </row>
    <row r="34" spans="2:17" x14ac:dyDescent="0.15">
      <c r="B34" s="76">
        <f>振込明細!$E$1</f>
        <v>46058</v>
      </c>
      <c r="C34" s="74" t="s">
        <v>91</v>
      </c>
      <c r="D34" s="74" t="str">
        <f>IF(IFERROR(VLOOKUP(振込明細!B35,変換MAP!A:B,2,FALSE),"")=0,"",IFERROR(VLOOKUP(振込明細!B35,変換MAP!A:B,2,FALSE),""))</f>
        <v>（株）フクヤ</v>
      </c>
      <c r="G34" s="74" t="s">
        <v>92</v>
      </c>
      <c r="I34" s="75">
        <f>振込明細!C35</f>
        <v>83068</v>
      </c>
      <c r="J34" s="74" t="s">
        <v>93</v>
      </c>
      <c r="N34" s="74" t="s">
        <v>92</v>
      </c>
      <c r="P34" s="75">
        <f t="shared" si="0"/>
        <v>83068</v>
      </c>
      <c r="Q34" s="74" t="str">
        <f t="shared" si="1"/>
        <v>（株）フクヤ</v>
      </c>
    </row>
    <row r="35" spans="2:17" x14ac:dyDescent="0.15">
      <c r="B35" s="76">
        <f>振込明細!$E$1</f>
        <v>46058</v>
      </c>
      <c r="C35" s="74" t="s">
        <v>91</v>
      </c>
      <c r="D35" s="74" t="str">
        <f>IF(IFERROR(VLOOKUP(振込明細!B36,変換MAP!A:B,2,FALSE),"")=0,"",IFERROR(VLOOKUP(振込明細!B36,変換MAP!A:B,2,FALSE),""))</f>
        <v>（株）フレンド</v>
      </c>
      <c r="G35" s="74" t="s">
        <v>92</v>
      </c>
      <c r="I35" s="75">
        <f>振込明細!C36</f>
        <v>0</v>
      </c>
      <c r="J35" s="74" t="s">
        <v>93</v>
      </c>
      <c r="N35" s="74" t="s">
        <v>92</v>
      </c>
      <c r="P35" s="75">
        <f t="shared" si="0"/>
        <v>0</v>
      </c>
      <c r="Q35" s="74" t="str">
        <f t="shared" si="1"/>
        <v>（株）フレンド</v>
      </c>
    </row>
    <row r="36" spans="2:17" x14ac:dyDescent="0.15">
      <c r="B36" s="76">
        <f>振込明細!$E$1</f>
        <v>46058</v>
      </c>
      <c r="C36" s="74" t="s">
        <v>91</v>
      </c>
      <c r="D36" s="74" t="str">
        <f>IF(IFERROR(VLOOKUP(振込明細!B37,変換MAP!A:B,2,FALSE),"")=0,"",IFERROR(VLOOKUP(振込明細!B37,変換MAP!A:B,2,FALSE),""))</f>
        <v>前谷紙工業（株）</v>
      </c>
      <c r="G36" s="74" t="s">
        <v>92</v>
      </c>
      <c r="I36" s="75">
        <f>振込明細!C37</f>
        <v>0</v>
      </c>
      <c r="J36" s="74" t="s">
        <v>93</v>
      </c>
      <c r="N36" s="74" t="s">
        <v>92</v>
      </c>
      <c r="P36" s="75">
        <f t="shared" si="0"/>
        <v>0</v>
      </c>
      <c r="Q36" s="74" t="str">
        <f t="shared" si="1"/>
        <v>前谷紙工業（株）</v>
      </c>
    </row>
    <row r="37" spans="2:17" x14ac:dyDescent="0.15">
      <c r="B37" s="76">
        <f>振込明細!$E$1</f>
        <v>46058</v>
      </c>
      <c r="C37" s="74" t="s">
        <v>91</v>
      </c>
      <c r="D37" s="74" t="str">
        <f>IF(IFERROR(VLOOKUP(振込明細!B38,変換MAP!A:B,2,FALSE),"")=0,"",IFERROR(VLOOKUP(振込明細!B38,変換MAP!A:B,2,FALSE),""))</f>
        <v>（株）松田製袋</v>
      </c>
      <c r="G37" s="74" t="s">
        <v>92</v>
      </c>
      <c r="I37" s="75">
        <f>振込明細!C38</f>
        <v>111100</v>
      </c>
      <c r="J37" s="74" t="s">
        <v>93</v>
      </c>
      <c r="N37" s="74" t="s">
        <v>92</v>
      </c>
      <c r="P37" s="75">
        <f t="shared" si="0"/>
        <v>111100</v>
      </c>
      <c r="Q37" s="74" t="str">
        <f t="shared" si="1"/>
        <v>（株）松田製袋</v>
      </c>
    </row>
    <row r="38" spans="2:17" x14ac:dyDescent="0.15">
      <c r="B38" s="76">
        <f>振込明細!$E$1</f>
        <v>46058</v>
      </c>
      <c r="C38" s="74" t="s">
        <v>91</v>
      </c>
      <c r="D38" s="74" t="str">
        <f>IF(IFERROR(VLOOKUP(振込明細!B39,変換MAP!A:B,2,FALSE),"")=0,"",IFERROR(VLOOKUP(振込明細!B39,変換MAP!A:B,2,FALSE),""))</f>
        <v>三木商事（株）</v>
      </c>
      <c r="G38" s="74" t="s">
        <v>92</v>
      </c>
      <c r="I38" s="75">
        <f>振込明細!C39</f>
        <v>296164</v>
      </c>
      <c r="J38" s="74" t="s">
        <v>93</v>
      </c>
      <c r="N38" s="74" t="s">
        <v>92</v>
      </c>
      <c r="P38" s="75">
        <f t="shared" si="0"/>
        <v>296164</v>
      </c>
      <c r="Q38" s="74" t="str">
        <f t="shared" si="1"/>
        <v>三木商事（株）</v>
      </c>
    </row>
    <row r="39" spans="2:17" x14ac:dyDescent="0.15">
      <c r="B39" s="76">
        <f>振込明細!$E$1</f>
        <v>46058</v>
      </c>
      <c r="C39" s="74" t="s">
        <v>91</v>
      </c>
      <c r="D39" s="74" t="str">
        <f>IF(IFERROR(VLOOKUP(振込明細!B40,変換MAP!A:B,2,FALSE),"")=0,"",IFERROR(VLOOKUP(振込明細!B40,変換MAP!A:B,2,FALSE),""))</f>
        <v>八幡浜紙業（株）</v>
      </c>
      <c r="G39" s="74" t="s">
        <v>92</v>
      </c>
      <c r="I39" s="75">
        <f>振込明細!C40</f>
        <v>0</v>
      </c>
      <c r="J39" s="74" t="s">
        <v>93</v>
      </c>
      <c r="N39" s="74" t="s">
        <v>92</v>
      </c>
      <c r="P39" s="75">
        <f t="shared" si="0"/>
        <v>0</v>
      </c>
      <c r="Q39" s="74" t="str">
        <f t="shared" si="1"/>
        <v>八幡浜紙業（株）</v>
      </c>
    </row>
    <row r="40" spans="2:17" x14ac:dyDescent="0.15">
      <c r="B40" s="76">
        <f>振込明細!$E$1</f>
        <v>46058</v>
      </c>
      <c r="C40" s="74" t="s">
        <v>91</v>
      </c>
      <c r="D40" s="74" t="str">
        <f>IF(IFERROR(VLOOKUP(振込明細!B41,変換MAP!A:B,2,FALSE),"")=0,"",IFERROR(VLOOKUP(振込明細!B41,変換MAP!A:B,2,FALSE),""))</f>
        <v>（株）ララ</v>
      </c>
      <c r="G40" s="74" t="s">
        <v>92</v>
      </c>
      <c r="I40" s="75">
        <f>振込明細!C41</f>
        <v>0</v>
      </c>
      <c r="J40" s="74" t="s">
        <v>93</v>
      </c>
      <c r="N40" s="74" t="s">
        <v>92</v>
      </c>
      <c r="P40" s="75">
        <f t="shared" si="0"/>
        <v>0</v>
      </c>
      <c r="Q40" s="74" t="str">
        <f t="shared" si="1"/>
        <v>（株）ララ</v>
      </c>
    </row>
    <row r="41" spans="2:17" x14ac:dyDescent="0.15">
      <c r="B41" s="76">
        <f>振込明細!$E$1</f>
        <v>46058</v>
      </c>
      <c r="C41" s="74" t="s">
        <v>91</v>
      </c>
      <c r="D41" s="74" t="str">
        <f>IF(IFERROR(VLOOKUP(振込明細!B42,変換MAP!A:B,2,FALSE),"")=0,"",IFERROR(VLOOKUP(振込明細!B42,変換MAP!A:B,2,FALSE),""))</f>
        <v>柳井紙工（株）</v>
      </c>
      <c r="G41" s="74" t="s">
        <v>92</v>
      </c>
      <c r="I41" s="75">
        <f>振込明細!C42</f>
        <v>0</v>
      </c>
      <c r="J41" s="74" t="s">
        <v>93</v>
      </c>
      <c r="N41" s="74" t="s">
        <v>92</v>
      </c>
      <c r="P41" s="75">
        <f t="shared" si="0"/>
        <v>0</v>
      </c>
      <c r="Q41" s="74" t="str">
        <f t="shared" si="1"/>
        <v>柳井紙工（株）</v>
      </c>
    </row>
    <row r="42" spans="2:17" x14ac:dyDescent="0.15">
      <c r="B42" s="76">
        <f>振込明細!$E$1</f>
        <v>46058</v>
      </c>
      <c r="C42" s="74" t="s">
        <v>94</v>
      </c>
      <c r="D42" s="74" t="str">
        <f>IF(IFERROR(VLOOKUP(振込明細!B88,変換MAP!A:B,2,FALSE),"")=0,"",IFERROR(VLOOKUP(振込明細!B88,変換MAP!A:B,2,FALSE),""))</f>
        <v/>
      </c>
      <c r="G42" s="74" t="s">
        <v>92</v>
      </c>
      <c r="I42" s="75">
        <f>振込明細!F43</f>
        <v>8855</v>
      </c>
      <c r="J42" s="74" t="s">
        <v>95</v>
      </c>
      <c r="L42" s="74" t="s">
        <v>96</v>
      </c>
      <c r="N42" s="74" t="s">
        <v>97</v>
      </c>
      <c r="P42" s="75">
        <f t="shared" si="0"/>
        <v>8855</v>
      </c>
      <c r="Q42" s="74" t="s">
        <v>98</v>
      </c>
    </row>
    <row r="43" spans="2:17" x14ac:dyDescent="0.15">
      <c r="B43" s="76">
        <f>振込明細!$E$1</f>
        <v>46058</v>
      </c>
      <c r="C43" s="74" t="s">
        <v>94</v>
      </c>
      <c r="D43" s="74" t="str">
        <f>IF(IFERROR(VLOOKUP(振込明細!B89,変換MAP!A:B,2,FALSE),"")=0,"",IFERROR(VLOOKUP(振込明細!B89,変換MAP!A:B,2,FALSE),""))</f>
        <v/>
      </c>
      <c r="G43" s="74" t="s">
        <v>92</v>
      </c>
      <c r="I43" s="75">
        <f>振込明細!I43</f>
        <v>8008</v>
      </c>
      <c r="J43" s="74" t="s">
        <v>99</v>
      </c>
      <c r="L43" s="74" t="s">
        <v>96</v>
      </c>
      <c r="N43" s="74" t="s">
        <v>100</v>
      </c>
      <c r="P43" s="75">
        <f t="shared" si="0"/>
        <v>8008</v>
      </c>
      <c r="Q43" s="74" t="s">
        <v>101</v>
      </c>
    </row>
  </sheetData>
  <autoFilter ref="A1:S43" xr:uid="{9BB7036E-4238-498D-A864-3CE9603CDFC5}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7D0B-5093-46E3-8F54-2D863C4AA5B0}">
  <dimension ref="A1:B42"/>
  <sheetViews>
    <sheetView topLeftCell="A4" workbookViewId="0"/>
  </sheetViews>
  <sheetFormatPr defaultRowHeight="13.5" x14ac:dyDescent="0.15"/>
  <cols>
    <col min="1" max="1" width="20.375" style="74" bestFit="1" customWidth="1"/>
    <col min="2" max="2" width="20.625" style="74" bestFit="1" customWidth="1"/>
    <col min="3" max="16384" width="9" style="74"/>
  </cols>
  <sheetData>
    <row r="1" spans="1:2" x14ac:dyDescent="0.15">
      <c r="A1" s="74" t="s">
        <v>102</v>
      </c>
      <c r="B1" s="74" t="s">
        <v>103</v>
      </c>
    </row>
    <row r="2" spans="1:2" x14ac:dyDescent="0.15">
      <c r="A2" s="74" t="s">
        <v>104</v>
      </c>
      <c r="B2" s="74" t="s">
        <v>105</v>
      </c>
    </row>
    <row r="3" spans="1:2" x14ac:dyDescent="0.15">
      <c r="A3" s="74" t="s">
        <v>23</v>
      </c>
      <c r="B3" s="74" t="s">
        <v>106</v>
      </c>
    </row>
    <row r="4" spans="1:2" x14ac:dyDescent="0.15">
      <c r="A4" s="74" t="s">
        <v>22</v>
      </c>
      <c r="B4" s="74" t="s">
        <v>107</v>
      </c>
    </row>
    <row r="5" spans="1:2" x14ac:dyDescent="0.15">
      <c r="A5" s="74" t="s">
        <v>24</v>
      </c>
      <c r="B5" s="74" t="s">
        <v>108</v>
      </c>
    </row>
    <row r="6" spans="1:2" x14ac:dyDescent="0.15">
      <c r="A6" s="74" t="s">
        <v>25</v>
      </c>
      <c r="B6" s="74" t="s">
        <v>109</v>
      </c>
    </row>
    <row r="7" spans="1:2" x14ac:dyDescent="0.15">
      <c r="A7" s="74" t="s">
        <v>67</v>
      </c>
      <c r="B7" s="74" t="s">
        <v>110</v>
      </c>
    </row>
    <row r="8" spans="1:2" x14ac:dyDescent="0.15">
      <c r="A8" s="74" t="s">
        <v>66</v>
      </c>
    </row>
    <row r="9" spans="1:2" x14ac:dyDescent="0.15">
      <c r="A9" s="74" t="s">
        <v>26</v>
      </c>
      <c r="B9" s="74" t="s">
        <v>111</v>
      </c>
    </row>
    <row r="10" spans="1:2" x14ac:dyDescent="0.15">
      <c r="A10" s="74" t="s">
        <v>112</v>
      </c>
      <c r="B10" s="74" t="s">
        <v>113</v>
      </c>
    </row>
    <row r="11" spans="1:2" x14ac:dyDescent="0.15">
      <c r="A11" s="74" t="s">
        <v>58</v>
      </c>
      <c r="B11" s="74" t="s">
        <v>114</v>
      </c>
    </row>
    <row r="12" spans="1:2" x14ac:dyDescent="0.15">
      <c r="A12" s="74" t="s">
        <v>37</v>
      </c>
      <c r="B12" s="74" t="s">
        <v>115</v>
      </c>
    </row>
    <row r="13" spans="1:2" x14ac:dyDescent="0.15">
      <c r="A13" s="74" t="s">
        <v>116</v>
      </c>
      <c r="B13" s="74" t="s">
        <v>55</v>
      </c>
    </row>
    <row r="14" spans="1:2" x14ac:dyDescent="0.15">
      <c r="A14" s="74" t="s">
        <v>28</v>
      </c>
      <c r="B14" s="74" t="s">
        <v>117</v>
      </c>
    </row>
    <row r="15" spans="1:2" x14ac:dyDescent="0.15">
      <c r="A15" s="74" t="s">
        <v>71</v>
      </c>
      <c r="B15" s="74" t="s">
        <v>118</v>
      </c>
    </row>
    <row r="16" spans="1:2" x14ac:dyDescent="0.15">
      <c r="A16" s="74" t="s">
        <v>29</v>
      </c>
      <c r="B16" s="74" t="s">
        <v>119</v>
      </c>
    </row>
    <row r="17" spans="1:2" x14ac:dyDescent="0.15">
      <c r="A17" s="74" t="s">
        <v>120</v>
      </c>
      <c r="B17" s="74" t="s">
        <v>121</v>
      </c>
    </row>
    <row r="18" spans="1:2" x14ac:dyDescent="0.15">
      <c r="A18" s="74" t="s">
        <v>61</v>
      </c>
      <c r="B18" s="74" t="s">
        <v>122</v>
      </c>
    </row>
    <row r="19" spans="1:2" x14ac:dyDescent="0.15">
      <c r="A19" s="74" t="s">
        <v>123</v>
      </c>
      <c r="B19" s="74" t="s">
        <v>124</v>
      </c>
    </row>
    <row r="20" spans="1:2" x14ac:dyDescent="0.15">
      <c r="A20" s="74" t="s">
        <v>30</v>
      </c>
      <c r="B20" s="74" t="s">
        <v>125</v>
      </c>
    </row>
    <row r="21" spans="1:2" x14ac:dyDescent="0.15">
      <c r="A21" s="74" t="s">
        <v>57</v>
      </c>
      <c r="B21" s="74" t="s">
        <v>126</v>
      </c>
    </row>
    <row r="22" spans="1:2" x14ac:dyDescent="0.15">
      <c r="A22" s="74" t="s">
        <v>31</v>
      </c>
      <c r="B22" s="74" t="s">
        <v>127</v>
      </c>
    </row>
    <row r="23" spans="1:2" x14ac:dyDescent="0.15">
      <c r="A23" s="74" t="s">
        <v>32</v>
      </c>
      <c r="B23" s="74" t="s">
        <v>128</v>
      </c>
    </row>
    <row r="24" spans="1:2" x14ac:dyDescent="0.15">
      <c r="A24" s="74" t="s">
        <v>129</v>
      </c>
    </row>
    <row r="25" spans="1:2" x14ac:dyDescent="0.15">
      <c r="A25" s="74" t="s">
        <v>130</v>
      </c>
      <c r="B25" s="74" t="s">
        <v>131</v>
      </c>
    </row>
    <row r="26" spans="1:2" x14ac:dyDescent="0.15">
      <c r="A26" s="74" t="s">
        <v>64</v>
      </c>
    </row>
    <row r="27" spans="1:2" x14ac:dyDescent="0.15">
      <c r="A27" s="74" t="s">
        <v>132</v>
      </c>
    </row>
    <row r="28" spans="1:2" x14ac:dyDescent="0.15">
      <c r="A28" s="74" t="s">
        <v>68</v>
      </c>
      <c r="B28" s="74" t="s">
        <v>133</v>
      </c>
    </row>
    <row r="29" spans="1:2" x14ac:dyDescent="0.15">
      <c r="A29" s="74" t="s">
        <v>134</v>
      </c>
      <c r="B29" s="74" t="s">
        <v>135</v>
      </c>
    </row>
    <row r="30" spans="1:2" x14ac:dyDescent="0.15">
      <c r="A30" s="74" t="s">
        <v>33</v>
      </c>
      <c r="B30" s="74" t="s">
        <v>136</v>
      </c>
    </row>
    <row r="31" spans="1:2" x14ac:dyDescent="0.15">
      <c r="A31" s="74" t="s">
        <v>62</v>
      </c>
      <c r="B31" s="74" t="s">
        <v>137</v>
      </c>
    </row>
    <row r="32" spans="1:2" x14ac:dyDescent="0.15">
      <c r="A32" s="74" t="s">
        <v>34</v>
      </c>
      <c r="B32" s="74" t="s">
        <v>138</v>
      </c>
    </row>
    <row r="33" spans="1:2" x14ac:dyDescent="0.15">
      <c r="A33" s="74" t="s">
        <v>139</v>
      </c>
      <c r="B33" s="74" t="s">
        <v>140</v>
      </c>
    </row>
    <row r="34" spans="1:2" x14ac:dyDescent="0.15">
      <c r="A34" s="74" t="s">
        <v>141</v>
      </c>
      <c r="B34" s="74" t="s">
        <v>142</v>
      </c>
    </row>
    <row r="35" spans="1:2" x14ac:dyDescent="0.15">
      <c r="A35" s="74" t="s">
        <v>143</v>
      </c>
      <c r="B35" s="74" t="s">
        <v>144</v>
      </c>
    </row>
    <row r="36" spans="1:2" x14ac:dyDescent="0.15">
      <c r="A36" s="74" t="s">
        <v>27</v>
      </c>
      <c r="B36" s="74" t="s">
        <v>145</v>
      </c>
    </row>
    <row r="37" spans="1:2" x14ac:dyDescent="0.15">
      <c r="A37" s="74" t="s">
        <v>36</v>
      </c>
      <c r="B37" s="74" t="s">
        <v>146</v>
      </c>
    </row>
    <row r="38" spans="1:2" x14ac:dyDescent="0.15">
      <c r="A38" s="74" t="s">
        <v>60</v>
      </c>
      <c r="B38" s="74" t="s">
        <v>147</v>
      </c>
    </row>
    <row r="39" spans="1:2" x14ac:dyDescent="0.15">
      <c r="A39" s="74" t="s">
        <v>35</v>
      </c>
      <c r="B39" s="74" t="s">
        <v>148</v>
      </c>
    </row>
    <row r="40" spans="1:2" x14ac:dyDescent="0.15">
      <c r="A40" s="74" t="s">
        <v>149</v>
      </c>
      <c r="B40" s="74" t="s">
        <v>150</v>
      </c>
    </row>
    <row r="41" spans="1:2" x14ac:dyDescent="0.15">
      <c r="A41" s="74" t="s">
        <v>38</v>
      </c>
      <c r="B41" s="74" t="s">
        <v>151</v>
      </c>
    </row>
    <row r="42" spans="1:2" x14ac:dyDescent="0.15">
      <c r="A42" s="74" t="s">
        <v>152</v>
      </c>
      <c r="B42" s="74" t="s">
        <v>153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振込明細</vt:lpstr>
      <vt:lpstr>MF変換</vt:lpstr>
      <vt:lpstr>変換MAP</vt:lpstr>
      <vt:lpstr>振込明細!Print_Area</vt:lpstr>
      <vt:lpstr>振込明細!Print_Titles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一輝 小田</cp:lastModifiedBy>
  <cp:lastPrinted>2025-12-26T05:14:51Z</cp:lastPrinted>
  <dcterms:created xsi:type="dcterms:W3CDTF">2006-04-27T01:27:04Z</dcterms:created>
  <dcterms:modified xsi:type="dcterms:W3CDTF">2026-03-04T13:16:00Z</dcterms:modified>
</cp:coreProperties>
</file>