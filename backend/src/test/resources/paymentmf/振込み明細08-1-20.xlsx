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買掛処理用\"/>
    </mc:Choice>
  </mc:AlternateContent>
  <xr:revisionPtr revIDLastSave="0" documentId="13_ncr:1_{ECF87E7B-34A7-44F3-A95E-CABF3C3D3F65}" xr6:coauthVersionLast="47" xr6:coauthVersionMax="47" xr10:uidLastSave="{00000000-0000-0000-0000-000000000000}"/>
  <bookViews>
    <workbookView xWindow="57480" yWindow="-120" windowWidth="29040" windowHeight="15720" activeTab="4" xr2:uid="{00000000-000D-0000-FFFF-FFFF00000000}"/>
  </bookViews>
  <sheets>
    <sheet name="支払い明細" sheetId="1" r:id="rId1"/>
    <sheet name="中川製袋" sheetId="8" r:id="rId2"/>
    <sheet name="福通運賃明細" sheetId="5" r:id="rId3"/>
    <sheet name="MF変換" sheetId="9" r:id="rId4"/>
    <sheet name="変換MAP" sheetId="10" r:id="rId5"/>
  </sheets>
  <externalReferences>
    <externalReference r:id="rId6"/>
  </externalReferences>
  <definedNames>
    <definedName name="_xlnm._FilterDatabase" localSheetId="3" hidden="1">MF変換!$A$1:$S$88</definedName>
    <definedName name="_xlnm.Print_Area" localSheetId="0">支払い明細!$A$1:$J$87</definedName>
    <definedName name="_xlnm.Print_Area" localSheetId="1">中川製袋!$A$1:$H$26</definedName>
    <definedName name="_xlnm.Print_Area" localSheetId="2">福通運賃明細!$A$1:$G$24</definedName>
    <definedName name="_xlnm.Print_Titles" localSheetId="0">支払い明細!$2:$2</definedName>
  </definedNames>
  <calcPr calcId="191029"/>
</workbook>
</file>

<file path=xl/calcChain.xml><?xml version="1.0" encoding="utf-8"?>
<calcChain xmlns="http://schemas.openxmlformats.org/spreadsheetml/2006/main">
  <c r="I85" i="9" l="1"/>
  <c r="D85" i="9"/>
  <c r="B85" i="9"/>
  <c r="I84" i="9"/>
  <c r="D84" i="9"/>
  <c r="B84" i="9"/>
  <c r="I83" i="9"/>
  <c r="D83" i="9"/>
  <c r="B83" i="9"/>
  <c r="I82" i="9"/>
  <c r="D82" i="9"/>
  <c r="B82" i="9"/>
  <c r="I81" i="9"/>
  <c r="D81" i="9"/>
  <c r="B81" i="9"/>
  <c r="I79" i="9"/>
  <c r="P79" i="9" s="1"/>
  <c r="D79" i="9"/>
  <c r="B79" i="9"/>
  <c r="I75" i="9"/>
  <c r="D75" i="9"/>
  <c r="B75" i="9"/>
  <c r="I74" i="9"/>
  <c r="P74" i="9" s="1"/>
  <c r="D74" i="9"/>
  <c r="B74" i="9"/>
  <c r="I73" i="9"/>
  <c r="D73" i="9"/>
  <c r="B73" i="9"/>
  <c r="I70" i="9"/>
  <c r="D70" i="9"/>
  <c r="B70" i="9"/>
  <c r="I68" i="9"/>
  <c r="D68" i="9"/>
  <c r="B68" i="9"/>
  <c r="I67" i="9"/>
  <c r="D67" i="9"/>
  <c r="B67" i="9"/>
  <c r="I66" i="9"/>
  <c r="D66" i="9"/>
  <c r="B66" i="9"/>
  <c r="I61" i="9"/>
  <c r="D61" i="9"/>
  <c r="B61" i="9"/>
  <c r="I57" i="9"/>
  <c r="D57" i="9"/>
  <c r="B57" i="9"/>
  <c r="I56" i="9"/>
  <c r="D56" i="9"/>
  <c r="B56" i="9"/>
  <c r="I54" i="9"/>
  <c r="D54" i="9"/>
  <c r="Q54" i="9" s="1"/>
  <c r="B54" i="9"/>
  <c r="I52" i="9"/>
  <c r="D52" i="9"/>
  <c r="B52" i="9"/>
  <c r="I51" i="9"/>
  <c r="D51" i="9"/>
  <c r="B51" i="9"/>
  <c r="I50" i="9"/>
  <c r="D50" i="9"/>
  <c r="B50" i="9"/>
  <c r="I49" i="9"/>
  <c r="D49" i="9"/>
  <c r="B49" i="9"/>
  <c r="I48" i="9"/>
  <c r="D48" i="9"/>
  <c r="B48" i="9"/>
  <c r="I47" i="9"/>
  <c r="D47" i="9"/>
  <c r="B47" i="9"/>
  <c r="I46" i="9"/>
  <c r="P46" i="9" s="1"/>
  <c r="D46" i="9"/>
  <c r="B46" i="9"/>
  <c r="I44" i="9"/>
  <c r="D44" i="9"/>
  <c r="Q44" i="9" s="1"/>
  <c r="B44" i="9"/>
  <c r="I43" i="9"/>
  <c r="D43" i="9"/>
  <c r="Q43" i="9" s="1"/>
  <c r="B43" i="9"/>
  <c r="I42" i="9"/>
  <c r="D42" i="9"/>
  <c r="Q42" i="9" s="1"/>
  <c r="B42" i="9"/>
  <c r="I41" i="9"/>
  <c r="D41" i="9"/>
  <c r="B41" i="9"/>
  <c r="I40" i="9"/>
  <c r="D40" i="9"/>
  <c r="Q40" i="9" s="1"/>
  <c r="B40" i="9"/>
  <c r="I37" i="9"/>
  <c r="D37" i="9"/>
  <c r="B37" i="9"/>
  <c r="I36" i="9"/>
  <c r="D36" i="9"/>
  <c r="B36" i="9"/>
  <c r="I35" i="9"/>
  <c r="D35" i="9"/>
  <c r="Q35" i="9" s="1"/>
  <c r="B35" i="9"/>
  <c r="I34" i="9"/>
  <c r="D34" i="9"/>
  <c r="Q34" i="9" s="1"/>
  <c r="B34" i="9"/>
  <c r="I33" i="9"/>
  <c r="D33" i="9"/>
  <c r="Q33" i="9" s="1"/>
  <c r="B33" i="9"/>
  <c r="I32" i="9"/>
  <c r="D32" i="9"/>
  <c r="Q32" i="9" s="1"/>
  <c r="B32" i="9"/>
  <c r="I30" i="9"/>
  <c r="D30" i="9"/>
  <c r="Q30" i="9" s="1"/>
  <c r="B30" i="9"/>
  <c r="I29" i="9"/>
  <c r="P29" i="9" s="1"/>
  <c r="D29" i="9"/>
  <c r="Q29" i="9" s="1"/>
  <c r="B29" i="9"/>
  <c r="I28" i="9"/>
  <c r="P28" i="9" s="1"/>
  <c r="D28" i="9"/>
  <c r="B28" i="9"/>
  <c r="I27" i="9"/>
  <c r="D27" i="9"/>
  <c r="B27" i="9"/>
  <c r="I26" i="9"/>
  <c r="P26" i="9" s="1"/>
  <c r="D26" i="9"/>
  <c r="Q26" i="9" s="1"/>
  <c r="B26" i="9"/>
  <c r="I25" i="9"/>
  <c r="D25" i="9"/>
  <c r="Q25" i="9" s="1"/>
  <c r="B25" i="9"/>
  <c r="I21" i="9"/>
  <c r="D21" i="9"/>
  <c r="Q21" i="9" s="1"/>
  <c r="B21" i="9"/>
  <c r="I18" i="9"/>
  <c r="D18" i="9"/>
  <c r="Q18" i="9" s="1"/>
  <c r="B18" i="9"/>
  <c r="I14" i="9"/>
  <c r="P14" i="9" s="1"/>
  <c r="D14" i="9"/>
  <c r="B14" i="9"/>
  <c r="I13" i="9"/>
  <c r="D13" i="9"/>
  <c r="Q13" i="9" s="1"/>
  <c r="B13" i="9"/>
  <c r="I12" i="9"/>
  <c r="D12" i="9"/>
  <c r="B12" i="9"/>
  <c r="I5" i="9"/>
  <c r="D5" i="9"/>
  <c r="Q5" i="9" s="1"/>
  <c r="B5" i="9"/>
  <c r="I4" i="9"/>
  <c r="P4" i="9" s="1"/>
  <c r="D4" i="9"/>
  <c r="Q4" i="9" s="1"/>
  <c r="B4" i="9"/>
  <c r="I88" i="9"/>
  <c r="B88" i="9"/>
  <c r="I87" i="9"/>
  <c r="D87" i="9"/>
  <c r="B87" i="9"/>
  <c r="I86" i="9"/>
  <c r="D86" i="9"/>
  <c r="B86" i="9"/>
  <c r="I80" i="9"/>
  <c r="D80" i="9"/>
  <c r="B80" i="9"/>
  <c r="I78" i="9"/>
  <c r="D78" i="9"/>
  <c r="B78" i="9"/>
  <c r="I77" i="9"/>
  <c r="D77" i="9"/>
  <c r="B77" i="9"/>
  <c r="I76" i="9"/>
  <c r="D76" i="9"/>
  <c r="B76" i="9"/>
  <c r="I72" i="9"/>
  <c r="D72" i="9"/>
  <c r="B72" i="9"/>
  <c r="I71" i="9"/>
  <c r="D71" i="9"/>
  <c r="B71" i="9"/>
  <c r="I69" i="9"/>
  <c r="D69" i="9"/>
  <c r="B69" i="9"/>
  <c r="I65" i="9"/>
  <c r="D65" i="9"/>
  <c r="B65" i="9"/>
  <c r="I64" i="9"/>
  <c r="D64" i="9"/>
  <c r="B64" i="9"/>
  <c r="I63" i="9"/>
  <c r="D63" i="9"/>
  <c r="B63" i="9"/>
  <c r="I62" i="9"/>
  <c r="D62" i="9"/>
  <c r="B62" i="9"/>
  <c r="I60" i="9"/>
  <c r="D60" i="9"/>
  <c r="B60" i="9"/>
  <c r="I59" i="9"/>
  <c r="P59" i="9" s="1"/>
  <c r="D59" i="9"/>
  <c r="B59" i="9"/>
  <c r="I58" i="9"/>
  <c r="D58" i="9"/>
  <c r="B58" i="9"/>
  <c r="I55" i="9"/>
  <c r="D55" i="9"/>
  <c r="Q55" i="9" s="1"/>
  <c r="B55" i="9"/>
  <c r="I53" i="9"/>
  <c r="D53" i="9"/>
  <c r="B53" i="9"/>
  <c r="I45" i="9"/>
  <c r="D45" i="9"/>
  <c r="Q45" i="9" s="1"/>
  <c r="B45" i="9"/>
  <c r="I39" i="9"/>
  <c r="D39" i="9"/>
  <c r="Q39" i="9" s="1"/>
  <c r="B39" i="9"/>
  <c r="I38" i="9"/>
  <c r="P38" i="9" s="1"/>
  <c r="D38" i="9"/>
  <c r="Q38" i="9" s="1"/>
  <c r="B38" i="9"/>
  <c r="I31" i="9"/>
  <c r="D31" i="9"/>
  <c r="Q31" i="9" s="1"/>
  <c r="B31" i="9"/>
  <c r="I24" i="9"/>
  <c r="D24" i="9"/>
  <c r="Q24" i="9" s="1"/>
  <c r="B24" i="9"/>
  <c r="I23" i="9"/>
  <c r="D23" i="9"/>
  <c r="Q23" i="9" s="1"/>
  <c r="B23" i="9"/>
  <c r="I22" i="9"/>
  <c r="P22" i="9" s="1"/>
  <c r="D22" i="9"/>
  <c r="Q22" i="9" s="1"/>
  <c r="B22" i="9"/>
  <c r="I20" i="9"/>
  <c r="D20" i="9"/>
  <c r="Q20" i="9" s="1"/>
  <c r="B20" i="9"/>
  <c r="I19" i="9"/>
  <c r="D19" i="9"/>
  <c r="Q19" i="9" s="1"/>
  <c r="B19" i="9"/>
  <c r="I17" i="9"/>
  <c r="P17" i="9" s="1"/>
  <c r="D17" i="9"/>
  <c r="Q17" i="9" s="1"/>
  <c r="B17" i="9"/>
  <c r="I16" i="9"/>
  <c r="P16" i="9" s="1"/>
  <c r="D16" i="9"/>
  <c r="Q16" i="9" s="1"/>
  <c r="B16" i="9"/>
  <c r="I15" i="9"/>
  <c r="D15" i="9"/>
  <c r="Q15" i="9" s="1"/>
  <c r="B15" i="9"/>
  <c r="I11" i="9"/>
  <c r="P11" i="9" s="1"/>
  <c r="D11" i="9"/>
  <c r="Q11" i="9" s="1"/>
  <c r="B11" i="9"/>
  <c r="I10" i="9"/>
  <c r="D10" i="9"/>
  <c r="B10" i="9"/>
  <c r="I9" i="9"/>
  <c r="D9" i="9"/>
  <c r="Q9" i="9" s="1"/>
  <c r="B9" i="9"/>
  <c r="I8" i="9"/>
  <c r="D8" i="9"/>
  <c r="Q8" i="9" s="1"/>
  <c r="B8" i="9"/>
  <c r="I7" i="9"/>
  <c r="D7" i="9"/>
  <c r="Q7" i="9" s="1"/>
  <c r="B7" i="9"/>
  <c r="I6" i="9"/>
  <c r="D6" i="9"/>
  <c r="Q6" i="9" s="1"/>
  <c r="B6" i="9"/>
  <c r="I3" i="9"/>
  <c r="P3" i="9" s="1"/>
  <c r="D3" i="9"/>
  <c r="Q3" i="9" s="1"/>
  <c r="B3" i="9"/>
  <c r="I2" i="9"/>
  <c r="D2" i="9"/>
  <c r="Q2" i="9" s="1"/>
  <c r="B2" i="9"/>
  <c r="P88" i="9"/>
  <c r="P87" i="9"/>
  <c r="P86" i="9"/>
  <c r="P85" i="9"/>
  <c r="P84" i="9"/>
  <c r="P83" i="9"/>
  <c r="P82" i="9"/>
  <c r="P81" i="9"/>
  <c r="P80" i="9"/>
  <c r="P78" i="9"/>
  <c r="P77" i="9"/>
  <c r="P76" i="9"/>
  <c r="P75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8" i="9"/>
  <c r="Q58" i="9"/>
  <c r="P57" i="9"/>
  <c r="P56" i="9"/>
  <c r="P55" i="9"/>
  <c r="P54" i="9"/>
  <c r="P53" i="9"/>
  <c r="Q53" i="9"/>
  <c r="P52" i="9"/>
  <c r="Q52" i="9"/>
  <c r="P51" i="9"/>
  <c r="P50" i="9"/>
  <c r="P49" i="9"/>
  <c r="P48" i="9"/>
  <c r="Q48" i="9"/>
  <c r="P47" i="9"/>
  <c r="Q47" i="9"/>
  <c r="Q46" i="9"/>
  <c r="P45" i="9"/>
  <c r="P44" i="9"/>
  <c r="P43" i="9"/>
  <c r="P42" i="9"/>
  <c r="Q41" i="9"/>
  <c r="P41" i="9"/>
  <c r="P40" i="9"/>
  <c r="P39" i="9"/>
  <c r="P37" i="9"/>
  <c r="Q37" i="9"/>
  <c r="Q36" i="9"/>
  <c r="P36" i="9"/>
  <c r="P35" i="9"/>
  <c r="P34" i="9"/>
  <c r="P33" i="9"/>
  <c r="P32" i="9"/>
  <c r="P31" i="9"/>
  <c r="P30" i="9"/>
  <c r="Q28" i="9"/>
  <c r="Q27" i="9"/>
  <c r="P27" i="9"/>
  <c r="P25" i="9"/>
  <c r="P24" i="9"/>
  <c r="P23" i="9"/>
  <c r="P21" i="9"/>
  <c r="P20" i="9"/>
  <c r="P19" i="9"/>
  <c r="P18" i="9"/>
  <c r="P15" i="9"/>
  <c r="Q14" i="9"/>
  <c r="P13" i="9"/>
  <c r="P12" i="9"/>
  <c r="Q12" i="9"/>
  <c r="P10" i="9"/>
  <c r="Q10" i="9"/>
  <c r="P9" i="9"/>
  <c r="P8" i="9"/>
  <c r="P7" i="9"/>
  <c r="P6" i="9"/>
  <c r="P5" i="9"/>
  <c r="P2" i="9"/>
  <c r="D18" i="5"/>
  <c r="F16" i="5"/>
  <c r="F2" i="5"/>
  <c r="H21" i="5"/>
  <c r="D85" i="1"/>
  <c r="E85" i="1" s="1"/>
  <c r="G17" i="8"/>
  <c r="D20" i="8"/>
  <c r="L16" i="1"/>
  <c r="H16" i="1" s="1"/>
  <c r="D16" i="1" s="1"/>
  <c r="F16" i="1" s="1"/>
  <c r="F22" i="8"/>
  <c r="D22" i="8"/>
  <c r="G22" i="8" s="1"/>
  <c r="F21" i="8"/>
  <c r="D21" i="8"/>
  <c r="G21" i="8" s="1"/>
  <c r="D84" i="1"/>
  <c r="E84" i="1" s="1"/>
  <c r="D39" i="1"/>
  <c r="F39" i="1" s="1"/>
  <c r="D83" i="1"/>
  <c r="E83" i="1" s="1"/>
  <c r="D86" i="1"/>
  <c r="E86" i="1" s="1"/>
  <c r="L18" i="1"/>
  <c r="H18" i="1" s="1"/>
  <c r="D18" i="1" s="1"/>
  <c r="D82" i="1"/>
  <c r="E82" i="1" s="1"/>
  <c r="E20" i="8" l="1"/>
  <c r="E23" i="8" s="1"/>
  <c r="F20" i="8"/>
  <c r="F23" i="8" s="1"/>
  <c r="D23" i="8"/>
  <c r="E39" i="1"/>
  <c r="F18" i="1"/>
  <c r="E18" i="1" s="1"/>
  <c r="C77" i="1"/>
  <c r="C87" i="1"/>
  <c r="D81" i="1"/>
  <c r="D80" i="1"/>
  <c r="D79" i="1"/>
  <c r="C60" i="1"/>
  <c r="E14" i="1"/>
  <c r="D14" i="1"/>
  <c r="F14" i="1" s="1"/>
  <c r="D15" i="1"/>
  <c r="F15" i="1" s="1"/>
  <c r="E16" i="1" l="1"/>
  <c r="I23" i="8" s="1"/>
  <c r="G20" i="8"/>
  <c r="G23" i="8" s="1"/>
  <c r="D87" i="1"/>
  <c r="E81" i="1"/>
  <c r="E80" i="1"/>
  <c r="E79" i="1"/>
  <c r="E15" i="1"/>
  <c r="D69" i="1"/>
  <c r="F69" i="1" s="1"/>
  <c r="E87" i="1" l="1"/>
  <c r="E69" i="1"/>
  <c r="L6" i="1" l="1"/>
  <c r="D66" i="1"/>
  <c r="F66" i="1" s="1"/>
  <c r="D65" i="1"/>
  <c r="F65" i="1" s="1"/>
  <c r="H6" i="1" l="1"/>
  <c r="E66" i="1"/>
  <c r="E65" i="1"/>
  <c r="D7" i="1"/>
  <c r="F7" i="1" s="1"/>
  <c r="E7" i="1" l="1"/>
  <c r="D68" i="1" l="1"/>
  <c r="F68" i="1" s="1"/>
  <c r="E68" i="1" l="1"/>
  <c r="L5" i="1"/>
  <c r="H5" i="1" s="1"/>
  <c r="L4" i="1"/>
  <c r="M6" i="1" l="1"/>
  <c r="H4" i="1"/>
  <c r="J6" i="1" l="1"/>
  <c r="D70" i="1" l="1"/>
  <c r="F70" i="1" s="1"/>
  <c r="E70" i="1" l="1"/>
  <c r="D6" i="1" l="1"/>
  <c r="F6" i="1" s="1"/>
  <c r="E21" i="5" l="1"/>
  <c r="L18" i="5"/>
  <c r="N18" i="5" s="1"/>
  <c r="N19" i="5"/>
  <c r="L20" i="5"/>
  <c r="N20" i="5" s="1"/>
  <c r="M25" i="5"/>
  <c r="N24" i="5"/>
  <c r="L23" i="5"/>
  <c r="N23" i="5" s="1"/>
  <c r="N22" i="5"/>
  <c r="N21" i="5"/>
  <c r="N25" i="5" l="1"/>
  <c r="L25" i="5"/>
  <c r="D17" i="1" l="1"/>
  <c r="F17" i="1" s="1"/>
  <c r="E17" i="1" l="1"/>
  <c r="D20" i="1" l="1"/>
  <c r="F20" i="1" s="1"/>
  <c r="D21" i="1"/>
  <c r="F21" i="1" s="1"/>
  <c r="E20" i="1" l="1"/>
  <c r="E21" i="1"/>
  <c r="G72" i="1"/>
  <c r="G73" i="1" s="1"/>
  <c r="I72" i="1" l="1"/>
  <c r="I73" i="1" s="1"/>
  <c r="F20" i="5" l="1"/>
  <c r="F18" i="5"/>
  <c r="D43" i="1"/>
  <c r="F43" i="1" s="1"/>
  <c r="D42" i="1"/>
  <c r="F42" i="1" s="1"/>
  <c r="D10" i="1"/>
  <c r="F10" i="1" s="1"/>
  <c r="D27" i="1"/>
  <c r="F27" i="1" s="1"/>
  <c r="D24" i="1"/>
  <c r="F24" i="1" s="1"/>
  <c r="D59" i="1"/>
  <c r="F59" i="1" s="1"/>
  <c r="D3" i="1"/>
  <c r="F3" i="1" s="1"/>
  <c r="C72" i="1"/>
  <c r="D40" i="1"/>
  <c r="F40" i="1" s="1"/>
  <c r="K53" i="1"/>
  <c r="D46" i="1"/>
  <c r="F46" i="1" s="1"/>
  <c r="K30" i="1"/>
  <c r="H30" i="1" s="1"/>
  <c r="D22" i="1"/>
  <c r="F22" i="1" s="1"/>
  <c r="D45" i="1"/>
  <c r="F45" i="1" s="1"/>
  <c r="D67" i="1"/>
  <c r="F67" i="1" s="1"/>
  <c r="D61" i="1"/>
  <c r="F61" i="1" s="1"/>
  <c r="D62" i="1"/>
  <c r="F62" i="1" s="1"/>
  <c r="D63" i="1"/>
  <c r="F63" i="1" s="1"/>
  <c r="D64" i="1"/>
  <c r="F64" i="1" s="1"/>
  <c r="D23" i="1"/>
  <c r="F23" i="1" s="1"/>
  <c r="D25" i="1"/>
  <c r="F25" i="1" s="1"/>
  <c r="D26" i="1"/>
  <c r="F26" i="1" s="1"/>
  <c r="D28" i="1"/>
  <c r="F28" i="1" s="1"/>
  <c r="D29" i="1"/>
  <c r="F29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41" i="1"/>
  <c r="F41" i="1" s="1"/>
  <c r="D44" i="1"/>
  <c r="F44" i="1" s="1"/>
  <c r="D47" i="1"/>
  <c r="F47" i="1" s="1"/>
  <c r="D48" i="1"/>
  <c r="F48" i="1" s="1"/>
  <c r="D49" i="1"/>
  <c r="F49" i="1" s="1"/>
  <c r="D50" i="1"/>
  <c r="F50" i="1" s="1"/>
  <c r="D51" i="1"/>
  <c r="F51" i="1" s="1"/>
  <c r="D54" i="1"/>
  <c r="F54" i="1" s="1"/>
  <c r="D55" i="1"/>
  <c r="F55" i="1" s="1"/>
  <c r="D56" i="1"/>
  <c r="D52" i="1"/>
  <c r="F52" i="1" s="1"/>
  <c r="D57" i="1"/>
  <c r="F57" i="1" s="1"/>
  <c r="D58" i="1"/>
  <c r="F58" i="1" s="1"/>
  <c r="D8" i="1"/>
  <c r="F8" i="1" s="1"/>
  <c r="D9" i="1"/>
  <c r="F9" i="1" s="1"/>
  <c r="D11" i="1"/>
  <c r="F11" i="1" s="1"/>
  <c r="D12" i="1"/>
  <c r="F12" i="1" s="1"/>
  <c r="D13" i="1"/>
  <c r="F13" i="1" s="1"/>
  <c r="D19" i="1"/>
  <c r="F19" i="1" s="1"/>
  <c r="E28" i="1"/>
  <c r="E34" i="1"/>
  <c r="E38" i="1"/>
  <c r="E49" i="1"/>
  <c r="E50" i="1"/>
  <c r="E51" i="1"/>
  <c r="E57" i="1"/>
  <c r="D71" i="1"/>
  <c r="E71" i="1"/>
  <c r="H72" i="1"/>
  <c r="E29" i="1"/>
  <c r="D30" i="1" l="1"/>
  <c r="F30" i="1" s="1"/>
  <c r="H60" i="1"/>
  <c r="F56" i="1"/>
  <c r="E56" i="1" s="1"/>
  <c r="D53" i="1"/>
  <c r="E52" i="1"/>
  <c r="E26" i="1"/>
  <c r="E47" i="1"/>
  <c r="E62" i="1"/>
  <c r="E58" i="1"/>
  <c r="F19" i="5"/>
  <c r="F21" i="5" s="1"/>
  <c r="D21" i="5"/>
  <c r="E22" i="1"/>
  <c r="E61" i="1"/>
  <c r="E8" i="1"/>
  <c r="E54" i="1"/>
  <c r="E41" i="1"/>
  <c r="E46" i="1"/>
  <c r="E59" i="1"/>
  <c r="E23" i="1"/>
  <c r="E24" i="1"/>
  <c r="E37" i="1"/>
  <c r="E45" i="1"/>
  <c r="E11" i="1"/>
  <c r="E35" i="1"/>
  <c r="E42" i="1"/>
  <c r="C73" i="1"/>
  <c r="E33" i="1"/>
  <c r="E25" i="1"/>
  <c r="E13" i="1"/>
  <c r="E31" i="1"/>
  <c r="D4" i="1"/>
  <c r="E32" i="1"/>
  <c r="E10" i="1"/>
  <c r="E36" i="1"/>
  <c r="E6" i="1"/>
  <c r="E27" i="1"/>
  <c r="E44" i="1"/>
  <c r="E64" i="1"/>
  <c r="E12" i="1"/>
  <c r="E9" i="1"/>
  <c r="E43" i="1"/>
  <c r="E40" i="1"/>
  <c r="E55" i="1"/>
  <c r="E63" i="1"/>
  <c r="E67" i="1"/>
  <c r="D72" i="1"/>
  <c r="E3" i="1"/>
  <c r="E30" i="1" l="1"/>
  <c r="F53" i="1"/>
  <c r="E53" i="1" s="1"/>
  <c r="F4" i="1"/>
  <c r="E4" i="1" s="1"/>
  <c r="E48" i="1"/>
  <c r="E19" i="1"/>
  <c r="E72" i="1"/>
  <c r="F72" i="1"/>
  <c r="D5" i="1"/>
  <c r="K4" i="1" s="1"/>
  <c r="F60" i="1" l="1"/>
  <c r="F73" i="1" s="1"/>
  <c r="D60" i="1"/>
  <c r="H73" i="1"/>
  <c r="L72" i="1"/>
  <c r="E5" i="1"/>
  <c r="K6" i="1" s="1"/>
  <c r="E60" i="1" l="1"/>
  <c r="E73" i="1" s="1"/>
  <c r="D73" i="1"/>
  <c r="L6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odamitu</author>
  </authors>
  <commentList>
    <comment ref="J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odamitu: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<sst xmlns="http://schemas.openxmlformats.org/spreadsheetml/2006/main" count="642" uniqueCount="254">
  <si>
    <t>送金日</t>
    <rPh sb="0" eb="2">
      <t>ソウキン</t>
    </rPh>
    <rPh sb="2" eb="3">
      <t>ビ</t>
    </rPh>
    <phoneticPr fontId="4"/>
  </si>
  <si>
    <t>四国銀行</t>
    <rPh sb="0" eb="2">
      <t>シコク</t>
    </rPh>
    <rPh sb="2" eb="4">
      <t>ギンコウ</t>
    </rPh>
    <phoneticPr fontId="4"/>
  </si>
  <si>
    <t>青即引き・緑伝票引き</t>
    <rPh sb="0" eb="1">
      <t>アオ</t>
    </rPh>
    <rPh sb="1" eb="2">
      <t>ソク</t>
    </rPh>
    <rPh sb="2" eb="3">
      <t>ビ</t>
    </rPh>
    <rPh sb="5" eb="6">
      <t>ミドリ</t>
    </rPh>
    <rPh sb="6" eb="8">
      <t>デンピョウ</t>
    </rPh>
    <rPh sb="8" eb="9">
      <t>ビ</t>
    </rPh>
    <phoneticPr fontId="4"/>
  </si>
  <si>
    <t>送り先</t>
    <rPh sb="0" eb="3">
      <t>オクリサキ</t>
    </rPh>
    <phoneticPr fontId="4"/>
  </si>
  <si>
    <t>請求額</t>
    <rPh sb="0" eb="2">
      <t>セイキュウ</t>
    </rPh>
    <rPh sb="2" eb="3">
      <t>ガク</t>
    </rPh>
    <phoneticPr fontId="4"/>
  </si>
  <si>
    <t>打込金額</t>
    <rPh sb="0" eb="2">
      <t>ウチコ</t>
    </rPh>
    <rPh sb="2" eb="4">
      <t>キンガク</t>
    </rPh>
    <phoneticPr fontId="4"/>
  </si>
  <si>
    <t>振込金額</t>
    <rPh sb="0" eb="2">
      <t>フリコミ</t>
    </rPh>
    <rPh sb="2" eb="4">
      <t>キンガク</t>
    </rPh>
    <phoneticPr fontId="4"/>
  </si>
  <si>
    <t>送料相手</t>
    <rPh sb="0" eb="2">
      <t>ソウリョウ</t>
    </rPh>
    <rPh sb="2" eb="4">
      <t>アイテ</t>
    </rPh>
    <phoneticPr fontId="4"/>
  </si>
  <si>
    <t>値引</t>
    <rPh sb="0" eb="2">
      <t>ネビキ</t>
    </rPh>
    <phoneticPr fontId="4"/>
  </si>
  <si>
    <t>早払い</t>
    <rPh sb="0" eb="1">
      <t>ハヤバ</t>
    </rPh>
    <rPh sb="1" eb="2">
      <t>ハラ</t>
    </rPh>
    <phoneticPr fontId="4"/>
  </si>
  <si>
    <t>相殺</t>
    <rPh sb="0" eb="2">
      <t>ソウサイ</t>
    </rPh>
    <phoneticPr fontId="4"/>
  </si>
  <si>
    <t>大黒工業㈱</t>
    <rPh sb="0" eb="2">
      <t>ダイコク</t>
    </rPh>
    <rPh sb="2" eb="4">
      <t>コウギョウ</t>
    </rPh>
    <phoneticPr fontId="4"/>
  </si>
  <si>
    <t>その他計</t>
    <rPh sb="2" eb="3">
      <t>タ</t>
    </rPh>
    <rPh sb="3" eb="4">
      <t>ケイ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</si>
  <si>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</si>
  <si>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</si>
  <si>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ＴＥＬ　０８２－２３２－７１４４</t>
  </si>
  <si>
    <t>ＦＡＸ　０８２－２９１－１２６０</t>
  </si>
  <si>
    <t>入金処理をよろしくお願いいたします。</t>
    <rPh sb="0" eb="2">
      <t>ニュウキン</t>
    </rPh>
    <rPh sb="2" eb="4">
      <t>ショリ</t>
    </rPh>
    <rPh sb="10" eb="11">
      <t>ネガ</t>
    </rPh>
    <phoneticPr fontId="2"/>
  </si>
  <si>
    <t>貴社請求支店</t>
    <rPh sb="0" eb="2">
      <t>キシャ</t>
    </rPh>
    <rPh sb="2" eb="4">
      <t>セイキュウ</t>
    </rPh>
    <rPh sb="4" eb="6">
      <t>シテン</t>
    </rPh>
    <phoneticPr fontId="2"/>
  </si>
  <si>
    <t>弊社営業所</t>
    <rPh sb="0" eb="2">
      <t>ヘイシャ</t>
    </rPh>
    <rPh sb="2" eb="5">
      <t>エイギョウショ</t>
    </rPh>
    <phoneticPr fontId="2"/>
  </si>
  <si>
    <t>振込料</t>
    <rPh sb="0" eb="2">
      <t>フリコ</t>
    </rPh>
    <rPh sb="2" eb="3">
      <t>リョウ</t>
    </rPh>
    <phoneticPr fontId="2"/>
  </si>
  <si>
    <t>広島</t>
    <rPh sb="0" eb="2">
      <t>ヒロシマ</t>
    </rPh>
    <phoneticPr fontId="2"/>
  </si>
  <si>
    <t>大竹</t>
    <rPh sb="0" eb="2">
      <t>オオタケ</t>
    </rPh>
    <phoneticPr fontId="2"/>
  </si>
  <si>
    <t>松山</t>
    <rPh sb="0" eb="2">
      <t>マツヤマ</t>
    </rPh>
    <phoneticPr fontId="2"/>
  </si>
  <si>
    <t>振込送金額</t>
    <rPh sb="0" eb="2">
      <t>フリコ</t>
    </rPh>
    <rPh sb="2" eb="5">
      <t>ソウキンガク</t>
    </rPh>
    <phoneticPr fontId="2"/>
  </si>
  <si>
    <t>金  額</t>
    <rPh sb="0" eb="1">
      <t>キン</t>
    </rPh>
    <rPh sb="3" eb="4">
      <t>ガク</t>
    </rPh>
    <phoneticPr fontId="2"/>
  </si>
  <si>
    <t>松  山</t>
    <rPh sb="0" eb="1">
      <t>マツ</t>
    </rPh>
    <rPh sb="3" eb="4">
      <t>ヤマ</t>
    </rPh>
    <phoneticPr fontId="2"/>
  </si>
  <si>
    <t xml:space="preserve">    計</t>
    <rPh sb="4" eb="5">
      <t>ケイ</t>
    </rPh>
    <phoneticPr fontId="2"/>
  </si>
  <si>
    <t>東光　株式会社</t>
    <rPh sb="0" eb="2">
      <t>トウコウ</t>
    </rPh>
    <rPh sb="3" eb="7">
      <t>カブシキガイシャ</t>
    </rPh>
    <phoneticPr fontId="4"/>
  </si>
  <si>
    <t>ホリアキ　株式会社</t>
    <rPh sb="5" eb="9">
      <t>カブシキガイシャ</t>
    </rPh>
    <phoneticPr fontId="4"/>
  </si>
  <si>
    <t>北山　様</t>
    <rPh sb="0" eb="2">
      <t>キタヤマ</t>
    </rPh>
    <rPh sb="3" eb="4">
      <t>サマ</t>
    </rPh>
    <phoneticPr fontId="2"/>
  </si>
  <si>
    <t>小川商会</t>
    <rPh sb="0" eb="2">
      <t>オガワ</t>
    </rPh>
    <rPh sb="2" eb="4">
      <t>ショウカイ</t>
    </rPh>
    <phoneticPr fontId="4"/>
  </si>
  <si>
    <t>四国大竹</t>
    <rPh sb="0" eb="2">
      <t>シコク</t>
    </rPh>
    <rPh sb="2" eb="4">
      <t>オオタケ</t>
    </rPh>
    <phoneticPr fontId="4"/>
  </si>
  <si>
    <t>ｻﾗﾀﾞ館</t>
    <rPh sb="4" eb="5">
      <t>カン</t>
    </rPh>
    <phoneticPr fontId="2"/>
  </si>
  <si>
    <t>中国鉄管継手㈱</t>
    <rPh sb="0" eb="2">
      <t>チュウゴク</t>
    </rPh>
    <rPh sb="2" eb="4">
      <t>テッカン</t>
    </rPh>
    <rPh sb="4" eb="5">
      <t>ツギ</t>
    </rPh>
    <rPh sb="5" eb="6">
      <t>テ</t>
    </rPh>
    <phoneticPr fontId="4"/>
  </si>
  <si>
    <t>安佐南</t>
    <rPh sb="0" eb="2">
      <t>アサ</t>
    </rPh>
    <rPh sb="2" eb="3">
      <t>ミナミ</t>
    </rPh>
    <phoneticPr fontId="2"/>
  </si>
  <si>
    <t xml:space="preserve"> </t>
    <phoneticPr fontId="4"/>
  </si>
  <si>
    <r>
      <t xml:space="preserve">小田光 </t>
    </r>
    <r>
      <rPr>
        <sz val="10"/>
        <rFont val="ＭＳ Ｐゴシック"/>
        <family val="3"/>
        <charset val="128"/>
      </rPr>
      <t>株式会社</t>
    </r>
    <rPh sb="4" eb="6">
      <t>カブシキ</t>
    </rPh>
    <rPh sb="6" eb="8">
      <t>カイシャ</t>
    </rPh>
    <phoneticPr fontId="4"/>
  </si>
  <si>
    <t>本社　　広島県大竹市元町四丁目2-10</t>
    <rPh sb="0" eb="2">
      <t>ホンシャ</t>
    </rPh>
    <rPh sb="4" eb="7">
      <t>ヒロシマケン</t>
    </rPh>
    <rPh sb="12" eb="13">
      <t>ヨン</t>
    </rPh>
    <rPh sb="13" eb="15">
      <t>チョウメ</t>
    </rPh>
    <phoneticPr fontId="4"/>
  </si>
  <si>
    <t>ツバメ工業</t>
  </si>
  <si>
    <t>アスト株式会社</t>
    <rPh sb="3" eb="5">
      <t>カブシキ</t>
    </rPh>
    <rPh sb="5" eb="7">
      <t>カイシャ</t>
    </rPh>
    <phoneticPr fontId="4"/>
  </si>
  <si>
    <t>徳島</t>
    <rPh sb="0" eb="2">
      <t>トクシマ</t>
    </rPh>
    <phoneticPr fontId="2"/>
  </si>
  <si>
    <t>山陰</t>
    <rPh sb="0" eb="2">
      <t>サンイン</t>
    </rPh>
    <phoneticPr fontId="2"/>
  </si>
  <si>
    <t>益田</t>
    <rPh sb="0" eb="2">
      <t>マスダ</t>
    </rPh>
    <phoneticPr fontId="2"/>
  </si>
  <si>
    <t>福山通運㈱　広島支店　　御中</t>
    <rPh sb="0" eb="2">
      <t>フクヤマ</t>
    </rPh>
    <rPh sb="2" eb="4">
      <t>ツウウン</t>
    </rPh>
    <rPh sb="6" eb="8">
      <t>ヒロシマ</t>
    </rPh>
    <rPh sb="8" eb="10">
      <t>シテン</t>
    </rPh>
    <rPh sb="12" eb="14">
      <t>オンチュウ</t>
    </rPh>
    <phoneticPr fontId="2"/>
  </si>
  <si>
    <t>岩  国</t>
    <phoneticPr fontId="4"/>
  </si>
  <si>
    <t>岩  国</t>
    <phoneticPr fontId="4"/>
  </si>
  <si>
    <t>振込み日</t>
    <rPh sb="0" eb="2">
      <t>フリコ</t>
    </rPh>
    <rPh sb="3" eb="4">
      <t>ビ</t>
    </rPh>
    <phoneticPr fontId="4"/>
  </si>
  <si>
    <t>ＴＥＬ   0827-53-2227</t>
    <phoneticPr fontId="4"/>
  </si>
  <si>
    <t>ＦＡＸ   0827-53-2228</t>
    <phoneticPr fontId="4"/>
  </si>
  <si>
    <t>㈲ 東予割箸</t>
    <rPh sb="2" eb="4">
      <t>トウヨ</t>
    </rPh>
    <rPh sb="4" eb="6">
      <t>ワリバシ</t>
    </rPh>
    <phoneticPr fontId="4"/>
  </si>
  <si>
    <t>㈲ トックブランシュ</t>
    <phoneticPr fontId="4"/>
  </si>
  <si>
    <t>㈱ 尚美堂</t>
    <rPh sb="2" eb="3">
      <t>ショウ</t>
    </rPh>
    <rPh sb="3" eb="4">
      <t>ビ</t>
    </rPh>
    <rPh sb="4" eb="5">
      <t>ドウ</t>
    </rPh>
    <phoneticPr fontId="4"/>
  </si>
  <si>
    <t>㈱ 大阪包装社</t>
    <rPh sb="2" eb="4">
      <t>オオサカ</t>
    </rPh>
    <rPh sb="4" eb="6">
      <t>ホウソウ</t>
    </rPh>
    <rPh sb="6" eb="7">
      <t>シャ</t>
    </rPh>
    <phoneticPr fontId="4"/>
  </si>
  <si>
    <t>㈱ アルファ</t>
    <phoneticPr fontId="4"/>
  </si>
  <si>
    <t>㈱ ササガワ</t>
    <phoneticPr fontId="4"/>
  </si>
  <si>
    <t>㈱ 四国フソウ</t>
    <rPh sb="2" eb="4">
      <t>シコク</t>
    </rPh>
    <phoneticPr fontId="4"/>
  </si>
  <si>
    <t>㈱ セイコー</t>
    <phoneticPr fontId="4"/>
  </si>
  <si>
    <t>㈱ 太幸</t>
    <rPh sb="2" eb="3">
      <t>タイ</t>
    </rPh>
    <rPh sb="3" eb="4">
      <t>コウ</t>
    </rPh>
    <phoneticPr fontId="4"/>
  </si>
  <si>
    <t>㈲ タイヨー</t>
    <phoneticPr fontId="4"/>
  </si>
  <si>
    <t>㈱ 中国リス食品販売</t>
    <rPh sb="2" eb="3">
      <t>ナカ</t>
    </rPh>
    <rPh sb="3" eb="4">
      <t>クニ</t>
    </rPh>
    <rPh sb="6" eb="8">
      <t>ショクヒン</t>
    </rPh>
    <rPh sb="8" eb="10">
      <t>ハンバイ</t>
    </rPh>
    <phoneticPr fontId="4"/>
  </si>
  <si>
    <t>㈱ 中村製紙所</t>
    <rPh sb="2" eb="4">
      <t>ナカムラ</t>
    </rPh>
    <rPh sb="4" eb="6">
      <t>セイシ</t>
    </rPh>
    <rPh sb="6" eb="7">
      <t>ショ</t>
    </rPh>
    <phoneticPr fontId="4"/>
  </si>
  <si>
    <t>㈱ ニューパック住友</t>
    <rPh sb="8" eb="10">
      <t>スミトモ</t>
    </rPh>
    <phoneticPr fontId="4"/>
  </si>
  <si>
    <t>㈱ ﾊﾗﾌﾟﾚｯｸｽ松山支店</t>
    <rPh sb="10" eb="12">
      <t>マツヤマ</t>
    </rPh>
    <rPh sb="12" eb="14">
      <t>シテン</t>
    </rPh>
    <phoneticPr fontId="4"/>
  </si>
  <si>
    <t>㈱ フォーデック</t>
    <phoneticPr fontId="4"/>
  </si>
  <si>
    <t>広川 ㈱</t>
    <rPh sb="0" eb="2">
      <t>ヒロカワ</t>
    </rPh>
    <phoneticPr fontId="4"/>
  </si>
  <si>
    <t>㈱ 福重</t>
    <rPh sb="2" eb="4">
      <t>フクシゲ</t>
    </rPh>
    <phoneticPr fontId="4"/>
  </si>
  <si>
    <t>㈱ プライム.ハラ</t>
    <phoneticPr fontId="4"/>
  </si>
  <si>
    <t>㈱ 藤井包材</t>
    <rPh sb="2" eb="4">
      <t>フジイ</t>
    </rPh>
    <rPh sb="4" eb="5">
      <t>ホウ</t>
    </rPh>
    <rPh sb="5" eb="6">
      <t>ザイ</t>
    </rPh>
    <phoneticPr fontId="4"/>
  </si>
  <si>
    <t>㈱ ベルベ</t>
    <phoneticPr fontId="4"/>
  </si>
  <si>
    <t>㈱ ユタカフードパック</t>
    <phoneticPr fontId="4"/>
  </si>
  <si>
    <t>㈱ よし与工房</t>
    <rPh sb="4" eb="5">
      <t>ヨ</t>
    </rPh>
    <rPh sb="5" eb="7">
      <t>コウボウ</t>
    </rPh>
    <phoneticPr fontId="4"/>
  </si>
  <si>
    <t>ティックトランスポート㈲</t>
    <phoneticPr fontId="4"/>
  </si>
  <si>
    <t>㈱ ナカガワ</t>
    <phoneticPr fontId="4"/>
  </si>
  <si>
    <t>ヨハネ印刷㈱</t>
    <rPh sb="3" eb="5">
      <t>インサツ</t>
    </rPh>
    <phoneticPr fontId="4"/>
  </si>
  <si>
    <t>広島トヨペット㈱</t>
    <rPh sb="0" eb="2">
      <t>ヒロシマ</t>
    </rPh>
    <phoneticPr fontId="4"/>
  </si>
  <si>
    <t>本社仕入　合計</t>
    <rPh sb="5" eb="7">
      <t>ゴウケイ</t>
    </rPh>
    <phoneticPr fontId="4"/>
  </si>
  <si>
    <t>広島共和物産㈱　</t>
    <rPh sb="0" eb="2">
      <t>ヒロシマ</t>
    </rPh>
    <rPh sb="2" eb="4">
      <t>キョウワ</t>
    </rPh>
    <rPh sb="4" eb="6">
      <t>ブッサン</t>
    </rPh>
    <phoneticPr fontId="4"/>
  </si>
  <si>
    <t>㈱ やしき</t>
    <phoneticPr fontId="4"/>
  </si>
  <si>
    <t>サクマ運輸㈱</t>
    <rPh sb="3" eb="5">
      <t>ウンユ</t>
    </rPh>
    <phoneticPr fontId="4"/>
  </si>
  <si>
    <t>いつもお世話になり ありがとうございます。</t>
    <phoneticPr fontId="2"/>
  </si>
  <si>
    <t>貴社へ振り込みの営業所別明細を送ります。</t>
    <rPh sb="0" eb="2">
      <t>キシャ</t>
    </rPh>
    <rPh sb="3" eb="4">
      <t>フ</t>
    </rPh>
    <rPh sb="5" eb="6">
      <t>コ</t>
    </rPh>
    <rPh sb="8" eb="11">
      <t>エイギョウショ</t>
    </rPh>
    <rPh sb="11" eb="12">
      <t>ベツ</t>
    </rPh>
    <rPh sb="12" eb="14">
      <t>メイサイ</t>
    </rPh>
    <rPh sb="15" eb="16">
      <t>オク</t>
    </rPh>
    <phoneticPr fontId="2"/>
  </si>
  <si>
    <t xml:space="preserve">  銀行振込　支払い表</t>
    <rPh sb="2" eb="4">
      <t>ギンコウ</t>
    </rPh>
    <rPh sb="4" eb="6">
      <t>フリコミ</t>
    </rPh>
    <rPh sb="7" eb="9">
      <t>シハラ</t>
    </rPh>
    <rPh sb="10" eb="11">
      <t>ヒョウ</t>
    </rPh>
    <phoneticPr fontId="4"/>
  </si>
  <si>
    <t>㈱ パックタケヤマ</t>
    <phoneticPr fontId="4"/>
  </si>
  <si>
    <t>経理 御担当者　様</t>
    <rPh sb="0" eb="2">
      <t>ケイリ</t>
    </rPh>
    <rPh sb="3" eb="6">
      <t>ゴタントウ</t>
    </rPh>
    <rPh sb="6" eb="7">
      <t>シャ</t>
    </rPh>
    <rPh sb="8" eb="9">
      <t>サマ</t>
    </rPh>
    <phoneticPr fontId="4"/>
  </si>
  <si>
    <t>㈱ スズカ未来</t>
    <rPh sb="5" eb="7">
      <t>ミライ</t>
    </rPh>
    <phoneticPr fontId="4"/>
  </si>
  <si>
    <t>ご請求金額</t>
    <rPh sb="1" eb="3">
      <t>セイキュウ</t>
    </rPh>
    <rPh sb="3" eb="5">
      <t>キンガク</t>
    </rPh>
    <phoneticPr fontId="4"/>
  </si>
  <si>
    <t>お振込み金額</t>
    <rPh sb="1" eb="3">
      <t>フリコ</t>
    </rPh>
    <rPh sb="4" eb="6">
      <t>キンガク</t>
    </rPh>
    <phoneticPr fontId="4"/>
  </si>
  <si>
    <t>泉製紙　　第３事業部</t>
    <rPh sb="0" eb="1">
      <t>イズミ</t>
    </rPh>
    <rPh sb="1" eb="3">
      <t>セイシ</t>
    </rPh>
    <rPh sb="5" eb="6">
      <t>ダイ</t>
    </rPh>
    <rPh sb="7" eb="9">
      <t>ジギョウ</t>
    </rPh>
    <rPh sb="9" eb="10">
      <t>ブ</t>
    </rPh>
    <phoneticPr fontId="4"/>
  </si>
  <si>
    <t>泉製紙　　第２事業部</t>
    <rPh sb="0" eb="1">
      <t>イズミ</t>
    </rPh>
    <rPh sb="1" eb="3">
      <t>セイシ</t>
    </rPh>
    <rPh sb="5" eb="6">
      <t>ダイ</t>
    </rPh>
    <rPh sb="7" eb="9">
      <t>ジギョウ</t>
    </rPh>
    <rPh sb="9" eb="10">
      <t>ブ</t>
    </rPh>
    <phoneticPr fontId="4"/>
  </si>
  <si>
    <t>福山通運　　　第３事業部</t>
    <rPh sb="0" eb="2">
      <t>フクヤマ</t>
    </rPh>
    <rPh sb="2" eb="4">
      <t>ツウウン</t>
    </rPh>
    <rPh sb="7" eb="8">
      <t>ダイ</t>
    </rPh>
    <rPh sb="9" eb="11">
      <t>ジギョウ</t>
    </rPh>
    <rPh sb="11" eb="12">
      <t>ブ</t>
    </rPh>
    <phoneticPr fontId="4"/>
  </si>
  <si>
    <t>オルディ 株式会社</t>
    <rPh sb="5" eb="9">
      <t>カ</t>
    </rPh>
    <phoneticPr fontId="4"/>
  </si>
  <si>
    <t>振込口座変更あり</t>
    <rPh sb="0" eb="2">
      <t>フリコ</t>
    </rPh>
    <rPh sb="2" eb="4">
      <t>コウザ</t>
    </rPh>
    <rPh sb="4" eb="6">
      <t>ヘンコウ</t>
    </rPh>
    <phoneticPr fontId="4"/>
  </si>
  <si>
    <t>リコージャパン㈱</t>
    <phoneticPr fontId="4"/>
  </si>
  <si>
    <t>ナカパック産業 ㈱</t>
    <rPh sb="5" eb="7">
      <t>サンギョウ</t>
    </rPh>
    <phoneticPr fontId="4"/>
  </si>
  <si>
    <t>八家化学工業 ㈱</t>
    <rPh sb="0" eb="1">
      <t>ヤ</t>
    </rPh>
    <rPh sb="1" eb="2">
      <t>カ</t>
    </rPh>
    <rPh sb="2" eb="4">
      <t>カガク</t>
    </rPh>
    <rPh sb="4" eb="6">
      <t>コウギョウ</t>
    </rPh>
    <phoneticPr fontId="4"/>
  </si>
  <si>
    <t>森川 ㈱</t>
    <rPh sb="0" eb="2">
      <t>モリカワ</t>
    </rPh>
    <phoneticPr fontId="4"/>
  </si>
  <si>
    <t>信和 ㈱</t>
    <rPh sb="0" eb="1">
      <t>シン</t>
    </rPh>
    <rPh sb="1" eb="2">
      <t>ワ</t>
    </rPh>
    <phoneticPr fontId="4"/>
  </si>
  <si>
    <t>酒井美化工業 ㈱</t>
    <rPh sb="0" eb="2">
      <t>サカイ</t>
    </rPh>
    <rPh sb="2" eb="4">
      <t>ビカ</t>
    </rPh>
    <rPh sb="4" eb="6">
      <t>コウギョウ</t>
    </rPh>
    <phoneticPr fontId="4"/>
  </si>
  <si>
    <t>木村アルミ箔 ㈱</t>
    <rPh sb="0" eb="2">
      <t>キムラ</t>
    </rPh>
    <rPh sb="5" eb="6">
      <t>ハク</t>
    </rPh>
    <phoneticPr fontId="4"/>
  </si>
  <si>
    <t>カミイソ産商 ㈱</t>
    <rPh sb="4" eb="6">
      <t>サンショウ</t>
    </rPh>
    <phoneticPr fontId="4"/>
  </si>
  <si>
    <t>シーバイエス ㈱</t>
    <phoneticPr fontId="4"/>
  </si>
  <si>
    <t>ケイティケイ ㈱</t>
    <phoneticPr fontId="4"/>
  </si>
  <si>
    <t>イトマン ㈱</t>
    <phoneticPr fontId="4"/>
  </si>
  <si>
    <t>木野川紙業 株式会社</t>
    <phoneticPr fontId="4"/>
  </si>
  <si>
    <t>旭創業 ㈱</t>
    <rPh sb="0" eb="1">
      <t>アサヒ</t>
    </rPh>
    <rPh sb="1" eb="3">
      <t>ソウギョウ</t>
    </rPh>
    <phoneticPr fontId="4"/>
  </si>
  <si>
    <t>カネカ食品販売 ㈱</t>
    <rPh sb="3" eb="5">
      <t>ショクヒン</t>
    </rPh>
    <rPh sb="5" eb="7">
      <t>ハンバイ</t>
    </rPh>
    <phoneticPr fontId="4"/>
  </si>
  <si>
    <t>シーピー化成 ㈱</t>
    <rPh sb="4" eb="6">
      <t>カセイ</t>
    </rPh>
    <phoneticPr fontId="4"/>
  </si>
  <si>
    <t>㈱ ちどり産業</t>
    <rPh sb="5" eb="7">
      <t>サンギョウ</t>
    </rPh>
    <phoneticPr fontId="4"/>
  </si>
  <si>
    <t xml:space="preserve">㈱ 丸三 </t>
    <rPh sb="2" eb="3">
      <t>マル</t>
    </rPh>
    <rPh sb="3" eb="4">
      <t>サン</t>
    </rPh>
    <phoneticPr fontId="4"/>
  </si>
  <si>
    <t>中国エンゼル㈱</t>
    <rPh sb="0" eb="2">
      <t>チュウゴク</t>
    </rPh>
    <phoneticPr fontId="4"/>
  </si>
  <si>
    <t>㈱ ビバ</t>
    <phoneticPr fontId="4"/>
  </si>
  <si>
    <t>10万円以上</t>
    <rPh sb="2" eb="3">
      <t>マン</t>
    </rPh>
    <rPh sb="3" eb="4">
      <t>エン</t>
    </rPh>
    <rPh sb="4" eb="6">
      <t>イジョウ</t>
    </rPh>
    <phoneticPr fontId="4"/>
  </si>
  <si>
    <t>㈱ 奈良半商店</t>
    <phoneticPr fontId="4"/>
  </si>
  <si>
    <t>大  竹</t>
    <rPh sb="0" eb="1">
      <t>ダイ</t>
    </rPh>
    <rPh sb="3" eb="4">
      <t>タケ</t>
    </rPh>
    <phoneticPr fontId="2"/>
  </si>
  <si>
    <t>ハウスホールドジャパン㈱</t>
    <phoneticPr fontId="4"/>
  </si>
  <si>
    <t>泉 製紙 ㈱</t>
    <rPh sb="0" eb="1">
      <t>イズミ</t>
    </rPh>
    <rPh sb="2" eb="4">
      <t>セイシ</t>
    </rPh>
    <phoneticPr fontId="4"/>
  </si>
  <si>
    <t>綾  部</t>
    <rPh sb="0" eb="1">
      <t>アヤ</t>
    </rPh>
    <rPh sb="3" eb="4">
      <t>ブ</t>
    </rPh>
    <phoneticPr fontId="2"/>
  </si>
  <si>
    <t>岡山東</t>
    <rPh sb="0" eb="2">
      <t>オカヤマ</t>
    </rPh>
    <rPh sb="2" eb="3">
      <t>ヒガシ</t>
    </rPh>
    <phoneticPr fontId="2"/>
  </si>
  <si>
    <t>伝票で処理</t>
    <rPh sb="0" eb="2">
      <t>デンピョウ</t>
    </rPh>
    <rPh sb="3" eb="5">
      <t>ショリ</t>
    </rPh>
    <phoneticPr fontId="4"/>
  </si>
  <si>
    <t>福山通運</t>
    <rPh sb="0" eb="2">
      <t>フクヤマ</t>
    </rPh>
    <rPh sb="2" eb="4">
      <t>ツウウン</t>
    </rPh>
    <phoneticPr fontId="4"/>
  </si>
  <si>
    <t>物販部 運賃</t>
    <rPh sb="0" eb="2">
      <t>ブッパン</t>
    </rPh>
    <rPh sb="2" eb="3">
      <t>ブ</t>
    </rPh>
    <rPh sb="4" eb="6">
      <t>ウンチン</t>
    </rPh>
    <phoneticPr fontId="4"/>
  </si>
  <si>
    <t xml:space="preserve">物販部 仕入 </t>
    <rPh sb="0" eb="3">
      <t>ブッパンブ</t>
    </rPh>
    <rPh sb="4" eb="6">
      <t>シイレ</t>
    </rPh>
    <phoneticPr fontId="4"/>
  </si>
  <si>
    <t>物販部 事務用品費</t>
    <rPh sb="0" eb="2">
      <t>ブッパン</t>
    </rPh>
    <rPh sb="2" eb="3">
      <t>ブ</t>
    </rPh>
    <phoneticPr fontId="4"/>
  </si>
  <si>
    <t>20日払い振込手数料こちら持ち分</t>
    <rPh sb="2" eb="3">
      <t>ヒ</t>
    </rPh>
    <rPh sb="3" eb="4">
      <t>ハラ</t>
    </rPh>
    <rPh sb="5" eb="10">
      <t>フリコミテスウリョウ</t>
    </rPh>
    <rPh sb="13" eb="14">
      <t>モ</t>
    </rPh>
    <rPh sb="15" eb="16">
      <t>フン</t>
    </rPh>
    <phoneticPr fontId="4"/>
  </si>
  <si>
    <t>小計</t>
    <rPh sb="0" eb="2">
      <t>ショウケイ</t>
    </rPh>
    <phoneticPr fontId="4"/>
  </si>
  <si>
    <t>請求額</t>
    <rPh sb="0" eb="3">
      <t>セイキュウガク</t>
    </rPh>
    <phoneticPr fontId="4"/>
  </si>
  <si>
    <t>打ち込み額</t>
    <rPh sb="0" eb="1">
      <t>ウ</t>
    </rPh>
    <rPh sb="2" eb="3">
      <t>コ</t>
    </rPh>
    <rPh sb="4" eb="5">
      <t>ガク</t>
    </rPh>
    <phoneticPr fontId="4"/>
  </si>
  <si>
    <t>振込金額</t>
    <rPh sb="0" eb="4">
      <t>フリコミキンガク</t>
    </rPh>
    <phoneticPr fontId="4"/>
  </si>
  <si>
    <t>福助工業㈱</t>
    <rPh sb="0" eb="2">
      <t>フクスケ</t>
    </rPh>
    <rPh sb="2" eb="4">
      <t>コウギョウ</t>
    </rPh>
    <phoneticPr fontId="4"/>
  </si>
  <si>
    <t>R6.3.20〆より0.3%引き</t>
    <rPh sb="14" eb="15">
      <t>ヒ</t>
    </rPh>
    <phoneticPr fontId="4"/>
  </si>
  <si>
    <t>信越ファインテック ㈱</t>
    <rPh sb="0" eb="2">
      <t>シンエツ</t>
    </rPh>
    <phoneticPr fontId="4"/>
  </si>
  <si>
    <t>三菱UFJ 本店 当座 2159274</t>
    <rPh sb="0" eb="2">
      <t>ミツビシ</t>
    </rPh>
    <rPh sb="6" eb="8">
      <t>ホンテン</t>
    </rPh>
    <rPh sb="9" eb="11">
      <t>トウザ</t>
    </rPh>
    <phoneticPr fontId="4"/>
  </si>
  <si>
    <t>信越ﾎﾟﾘﾏｰ㈱より事業移管</t>
    <rPh sb="0" eb="2">
      <t>シンエツ</t>
    </rPh>
    <rPh sb="10" eb="12">
      <t>ジギョウ</t>
    </rPh>
    <rPh sb="12" eb="14">
      <t>イカン</t>
    </rPh>
    <phoneticPr fontId="4"/>
  </si>
  <si>
    <t>ユニ・チャーム ㈱</t>
    <phoneticPr fontId="4"/>
  </si>
  <si>
    <t>㈲ シルバー化成工業所</t>
    <rPh sb="6" eb="8">
      <t>カセイ</t>
    </rPh>
    <rPh sb="8" eb="11">
      <t>コウギョウショ</t>
    </rPh>
    <phoneticPr fontId="4"/>
  </si>
  <si>
    <t>ワタキューセイモア㈱</t>
    <phoneticPr fontId="4"/>
  </si>
  <si>
    <t>天満紙器 株式会社</t>
    <rPh sb="0" eb="4">
      <t>テンマシキ</t>
    </rPh>
    <rPh sb="5" eb="9">
      <t>カブシキガイシャ</t>
    </rPh>
    <phoneticPr fontId="4"/>
  </si>
  <si>
    <t>㈱ ゴークラ</t>
    <phoneticPr fontId="4"/>
  </si>
  <si>
    <r>
      <t>中川製袋化工 株式会社　</t>
    </r>
    <r>
      <rPr>
        <u/>
        <sz val="16"/>
        <rFont val="ＭＳ Ｐゴシック"/>
        <family val="3"/>
        <charset val="128"/>
      </rPr>
      <t>御中</t>
    </r>
    <rPh sb="0" eb="2">
      <t>ナカガワ</t>
    </rPh>
    <rPh sb="2" eb="4">
      <t>セ</t>
    </rPh>
    <rPh sb="4" eb="6">
      <t>カコウ</t>
    </rPh>
    <rPh sb="7" eb="9">
      <t>カブシキ</t>
    </rPh>
    <rPh sb="9" eb="11">
      <t>カイシャ</t>
    </rPh>
    <rPh sb="12" eb="14">
      <t>オンチュウ</t>
    </rPh>
    <phoneticPr fontId="4"/>
  </si>
  <si>
    <t xml:space="preserve">      山   村    様</t>
    <rPh sb="6" eb="7">
      <t>ヤマ</t>
    </rPh>
    <rPh sb="10" eb="11">
      <t>ムラ</t>
    </rPh>
    <rPh sb="15" eb="16">
      <t>サマ</t>
    </rPh>
    <phoneticPr fontId="4"/>
  </si>
  <si>
    <t xml:space="preserve">  いつもお世話になり ありがとうございます。</t>
    <phoneticPr fontId="4"/>
  </si>
  <si>
    <t>振り込み金額をお知らせいたします。</t>
    <rPh sb="0" eb="1">
      <t>フ</t>
    </rPh>
    <rPh sb="2" eb="3">
      <t>コ</t>
    </rPh>
    <rPh sb="4" eb="6">
      <t>キンガク</t>
    </rPh>
    <rPh sb="8" eb="9">
      <t>シ</t>
    </rPh>
    <phoneticPr fontId="4"/>
  </si>
  <si>
    <t>振込手数料</t>
    <rPh sb="0" eb="5">
      <t>フリコミテスウリョウ</t>
    </rPh>
    <phoneticPr fontId="4"/>
  </si>
  <si>
    <t>中川製袋化工 ㈱</t>
    <rPh sb="0" eb="4">
      <t>ナカガワセ</t>
    </rPh>
    <rPh sb="4" eb="6">
      <t>カコウ</t>
    </rPh>
    <phoneticPr fontId="4"/>
  </si>
  <si>
    <t>R6.10.20〆より0.3%引き</t>
    <rPh sb="15" eb="16">
      <t>ヒ</t>
    </rPh>
    <phoneticPr fontId="4"/>
  </si>
  <si>
    <t>ご確認よろしくお願い申し上げます。</t>
    <rPh sb="1" eb="3">
      <t>カクニン</t>
    </rPh>
    <rPh sb="10" eb="11">
      <t>モウ</t>
    </rPh>
    <rPh sb="12" eb="13">
      <t>ア</t>
    </rPh>
    <phoneticPr fontId="4"/>
  </si>
  <si>
    <t>※値引金額</t>
    <rPh sb="1" eb="3">
      <t>ネビ</t>
    </rPh>
    <rPh sb="3" eb="5">
      <t>キンガク</t>
    </rPh>
    <phoneticPr fontId="4"/>
  </si>
  <si>
    <t>ご請求額×0.003</t>
    <rPh sb="1" eb="4">
      <t>セイキュウガク</t>
    </rPh>
    <phoneticPr fontId="4"/>
  </si>
  <si>
    <t>廣川 ㈱</t>
    <rPh sb="0" eb="2">
      <t>ヒロカワ</t>
    </rPh>
    <phoneticPr fontId="4"/>
  </si>
  <si>
    <t>シンワ ㈱</t>
    <phoneticPr fontId="4"/>
  </si>
  <si>
    <t>三菱UFJ 上六支店 当座1502777</t>
    <rPh sb="0" eb="2">
      <t>ミツビシ</t>
    </rPh>
    <rPh sb="6" eb="7">
      <t>ウエ</t>
    </rPh>
    <rPh sb="7" eb="8">
      <t>ロク</t>
    </rPh>
    <rPh sb="8" eb="10">
      <t>シテン</t>
    </rPh>
    <rPh sb="11" eb="13">
      <t>トウザ</t>
    </rPh>
    <phoneticPr fontId="4"/>
  </si>
  <si>
    <t>車両費</t>
    <rPh sb="0" eb="3">
      <t>シャリョウヒ</t>
    </rPh>
    <phoneticPr fontId="4"/>
  </si>
  <si>
    <t>高  松</t>
    <rPh sb="0" eb="1">
      <t>タカ</t>
    </rPh>
    <rPh sb="3" eb="4">
      <t>マツ</t>
    </rPh>
    <phoneticPr fontId="2"/>
  </si>
  <si>
    <t>物販部 買掛金</t>
  </si>
  <si>
    <t>2025年  12月請求書</t>
    <rPh sb="4" eb="5">
      <t>ネン</t>
    </rPh>
    <rPh sb="9" eb="10">
      <t>ツキ</t>
    </rPh>
    <rPh sb="10" eb="13">
      <t>セイキュウショ</t>
    </rPh>
    <phoneticPr fontId="4"/>
  </si>
  <si>
    <t>取引No</t>
  </si>
  <si>
    <t>取引日</t>
  </si>
  <si>
    <t>借方勘定科目</t>
  </si>
  <si>
    <t>借方補助科目</t>
  </si>
  <si>
    <t>借方部門</t>
  </si>
  <si>
    <t>借方取引先</t>
  </si>
  <si>
    <t>借方税区分</t>
  </si>
  <si>
    <t>借方インボイス</t>
  </si>
  <si>
    <t>借方金額(円)</t>
  </si>
  <si>
    <t>貸方勘定科目</t>
  </si>
  <si>
    <t>貸方補助科目</t>
  </si>
  <si>
    <t>貸方部門</t>
  </si>
  <si>
    <t>貸方取引先</t>
  </si>
  <si>
    <t>貸方税区分</t>
  </si>
  <si>
    <t>貸方インボイス</t>
  </si>
  <si>
    <t>貸方金額(円)</t>
  </si>
  <si>
    <t>摘要</t>
  </si>
  <si>
    <t>タグ</t>
  </si>
  <si>
    <t>メモ</t>
  </si>
  <si>
    <t>買掛金</t>
  </si>
  <si>
    <t>対象外</t>
  </si>
  <si>
    <t>資金複合</t>
  </si>
  <si>
    <t>本社仕入　合計</t>
    <phoneticPr fontId="4"/>
  </si>
  <si>
    <t>荷造運賃</t>
    <phoneticPr fontId="4"/>
  </si>
  <si>
    <t>物販事業部</t>
  </si>
  <si>
    <t>課税仕入 10%</t>
  </si>
  <si>
    <t>荷造運賃</t>
  </si>
  <si>
    <t>ティックトランスポート㈲</t>
  </si>
  <si>
    <t>仕入高</t>
    <rPh sb="0" eb="3">
      <t>シイレダカ</t>
    </rPh>
    <phoneticPr fontId="4"/>
  </si>
  <si>
    <t>消耗品費</t>
  </si>
  <si>
    <t>リコージャパン㈱</t>
  </si>
  <si>
    <t>車両費</t>
  </si>
  <si>
    <t>㈱ ナカガワ</t>
  </si>
  <si>
    <t>㈱ ビバ</t>
  </si>
  <si>
    <t>その他小計</t>
    <rPh sb="2" eb="5">
      <t>タショウケイ</t>
    </rPh>
    <phoneticPr fontId="4"/>
  </si>
  <si>
    <t>合計の行　ここに振込手数料、早払いなどがある</t>
    <rPh sb="0" eb="2">
      <t>ゴウケイ</t>
    </rPh>
    <rPh sb="3" eb="4">
      <t>ギョウ</t>
    </rPh>
    <rPh sb="8" eb="13">
      <t>フリコミテスウリョウ</t>
    </rPh>
    <rPh sb="14" eb="16">
      <t>ハヤバラ</t>
    </rPh>
    <phoneticPr fontId="4"/>
  </si>
  <si>
    <t>20日払い振込手数料こちら持ち分の行　なので不要な行</t>
    <rPh sb="17" eb="18">
      <t>ギョウ</t>
    </rPh>
    <rPh sb="22" eb="24">
      <t>フヨウ</t>
    </rPh>
    <rPh sb="25" eb="26">
      <t>ギョウ</t>
    </rPh>
    <phoneticPr fontId="4"/>
  </si>
  <si>
    <t>ワタキューセイモア㈱</t>
  </si>
  <si>
    <t>ハウスホールドジャパン㈱</t>
  </si>
  <si>
    <t>シンワ ㈱</t>
  </si>
  <si>
    <t>㈱ ユタカフードパック</t>
  </si>
  <si>
    <t>小計の行</t>
    <rPh sb="0" eb="2">
      <t>ショウケイ</t>
    </rPh>
    <rPh sb="3" eb="4">
      <t>ギョウ</t>
    </rPh>
    <phoneticPr fontId="4"/>
  </si>
  <si>
    <t>資金複合</t>
    <phoneticPr fontId="4"/>
  </si>
  <si>
    <t>仕入値引・戻し高</t>
    <phoneticPr fontId="4"/>
  </si>
  <si>
    <t>課税仕入-返還等 10%</t>
    <phoneticPr fontId="4"/>
  </si>
  <si>
    <t>振込手数料値引／20日払い分</t>
    <phoneticPr fontId="4"/>
  </si>
  <si>
    <t>早払収益</t>
    <phoneticPr fontId="4"/>
  </si>
  <si>
    <t>非課税売上</t>
    <phoneticPr fontId="4"/>
  </si>
  <si>
    <t>早払収益／20日払い分</t>
    <phoneticPr fontId="4"/>
  </si>
  <si>
    <t>EXCEL</t>
    <phoneticPr fontId="4"/>
  </si>
  <si>
    <t>MF</t>
    <phoneticPr fontId="4"/>
  </si>
  <si>
    <t>イトマン ㈱</t>
  </si>
  <si>
    <t>イトマン（株）</t>
  </si>
  <si>
    <t>泉製紙（株）</t>
  </si>
  <si>
    <t>オルディ株式会社</t>
  </si>
  <si>
    <t>木野川紙業 株式会社</t>
  </si>
  <si>
    <t>木野川紙業（株）</t>
  </si>
  <si>
    <t>ケイティケイ ㈱</t>
  </si>
  <si>
    <t>ｋｔｋ ケイティケイ（株）</t>
  </si>
  <si>
    <t>（株）尚美堂</t>
  </si>
  <si>
    <t>シーバイエス ㈱</t>
  </si>
  <si>
    <t>シーバイエス（株）</t>
  </si>
  <si>
    <t>（株）スズカ未来</t>
  </si>
  <si>
    <t>㈱ 奈良半商店</t>
  </si>
  <si>
    <t>中川製袋化工（株）</t>
  </si>
  <si>
    <t>広島共和物産（株）</t>
  </si>
  <si>
    <t>福助工業（株）</t>
  </si>
  <si>
    <t>㈱ やしき</t>
  </si>
  <si>
    <t>（株）やしき</t>
    <phoneticPr fontId="4"/>
  </si>
  <si>
    <t>ユニ・チャーム ㈱</t>
  </si>
  <si>
    <t>ユニ・チャーム(株)</t>
  </si>
  <si>
    <t>（株）旭創業</t>
  </si>
  <si>
    <t>㈱ アルファ</t>
  </si>
  <si>
    <t>（株）大阪包装社</t>
    <phoneticPr fontId="4"/>
  </si>
  <si>
    <t>カミイソ産商（株）</t>
  </si>
  <si>
    <t>木村アルミ箔（株）</t>
    <phoneticPr fontId="4"/>
  </si>
  <si>
    <t>㈱ ササガワ</t>
  </si>
  <si>
    <t>㈱ セイコー</t>
  </si>
  <si>
    <t>（株）セイコー</t>
    <phoneticPr fontId="4"/>
  </si>
  <si>
    <t>大黒工業（株）</t>
  </si>
  <si>
    <t>㈱ パックタケヤマ</t>
  </si>
  <si>
    <t>㈲ タイヨー</t>
  </si>
  <si>
    <t>天満紙器（株）</t>
  </si>
  <si>
    <t>（株）東光</t>
  </si>
  <si>
    <t>㈲ トックブランシュ</t>
  </si>
  <si>
    <t>（株）ハラプレックス</t>
  </si>
  <si>
    <t>㈱ フォーデック</t>
  </si>
  <si>
    <t>㈱ プライム.ハラ</t>
  </si>
  <si>
    <t>㈱ ベルベ</t>
  </si>
  <si>
    <t>ホリアキ（株）</t>
  </si>
  <si>
    <t>信越ファインテック ㈱</t>
    <phoneticPr fontId="4"/>
  </si>
  <si>
    <t>信越ファインテック（株）</t>
    <phoneticPr fontId="4"/>
  </si>
  <si>
    <t>（株）丸三</t>
    <phoneticPr fontId="4"/>
  </si>
  <si>
    <t>森川（株）</t>
  </si>
  <si>
    <t>（株）よし与工房</t>
  </si>
  <si>
    <t>（株）パックタケヤマ</t>
    <phoneticPr fontId="4"/>
  </si>
  <si>
    <t>（株）太幸</t>
    <phoneticPr fontId="4"/>
  </si>
  <si>
    <t>シービー化成（株）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</si>
</sst>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#,##0.00_);[Red]\(#,##0.00\)"/>
    <numFmt numFmtId="178" formatCode="#,##0_);[Red]\(#,##0\)"/>
    <numFmt numFmtId="179" formatCode="[$-411]ggge&quot;年&quot;m&quot;月&quot;d&quot;日&quot;;@"/>
    <numFmt numFmtId="180" formatCode="#,##0;&quot;▲ &quot;#,##0"/>
    <numFmt numFmtId="181" formatCode="[$-F800]dddd\,\ mmmm\ dd\,\ yyyy"/>
    <numFmt numFmtId="182" formatCode="0_ "/>
  </numFmts>
  <fonts count="2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6.6"/>
      <color indexed="12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2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u/>
      <sz val="18"/>
      <name val="ＭＳ Ｐゴシック"/>
      <family val="3"/>
      <charset val="128"/>
    </font>
    <font>
      <u/>
      <sz val="16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3"/>
      <name val="ＭＳ Ｐゴシック"/>
      <family val="3"/>
      <charset val="128"/>
    </font>
    <font>
      <u/>
      <sz val="14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21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38" fontId="9" fillId="0" borderId="0" xfId="1" applyFont="1" applyFill="1" applyBorder="1" applyAlignment="1">
      <alignment vertical="center"/>
    </xf>
    <xf numFmtId="0" fontId="9" fillId="0" borderId="0" xfId="0" applyFont="1">
      <alignment vertical="center"/>
    </xf>
    <xf numFmtId="0" fontId="9" fillId="0" borderId="0" xfId="3" applyFont="1"/>
    <xf numFmtId="0" fontId="1" fillId="0" borderId="0" xfId="3"/>
    <xf numFmtId="179" fontId="9" fillId="0" borderId="0" xfId="3" applyNumberFormat="1" applyFont="1"/>
    <xf numFmtId="0" fontId="9" fillId="0" borderId="0" xfId="3" applyFont="1" applyAlignment="1">
      <alignment vertical="center"/>
    </xf>
    <xf numFmtId="0" fontId="1" fillId="0" borderId="0" xfId="3" applyAlignment="1">
      <alignment vertical="center"/>
    </xf>
    <xf numFmtId="38" fontId="3" fillId="0" borderId="12" xfId="1" applyFont="1" applyFill="1" applyBorder="1" applyAlignment="1">
      <alignment vertical="center"/>
    </xf>
    <xf numFmtId="38" fontId="3" fillId="0" borderId="1" xfId="1" applyFont="1" applyFill="1" applyBorder="1" applyAlignment="1">
      <alignment vertical="center"/>
    </xf>
    <xf numFmtId="38" fontId="3" fillId="0" borderId="14" xfId="1" applyFont="1" applyFill="1" applyBorder="1" applyAlignment="1">
      <alignment vertical="center"/>
    </xf>
    <xf numFmtId="38" fontId="3" fillId="0" borderId="6" xfId="1" applyFont="1" applyFill="1" applyBorder="1" applyAlignment="1">
      <alignment vertical="center"/>
    </xf>
    <xf numFmtId="38" fontId="3" fillId="0" borderId="7" xfId="1" applyFont="1" applyFill="1" applyBorder="1" applyAlignment="1">
      <alignment vertical="center"/>
    </xf>
    <xf numFmtId="38" fontId="3" fillId="0" borderId="15" xfId="1" applyFont="1" applyFill="1" applyBorder="1" applyAlignment="1">
      <alignment vertical="center"/>
    </xf>
    <xf numFmtId="38" fontId="3" fillId="0" borderId="13" xfId="1" applyFont="1" applyFill="1" applyBorder="1" applyAlignment="1">
      <alignment vertical="center"/>
    </xf>
    <xf numFmtId="38" fontId="3" fillId="0" borderId="16" xfId="1" applyFont="1" applyFill="1" applyBorder="1" applyAlignment="1">
      <alignment vertical="center"/>
    </xf>
    <xf numFmtId="38" fontId="3" fillId="0" borderId="17" xfId="1" applyFont="1" applyFill="1" applyBorder="1" applyAlignment="1">
      <alignment vertical="center"/>
    </xf>
    <xf numFmtId="38" fontId="3" fillId="0" borderId="18" xfId="1" applyFont="1" applyFill="1" applyBorder="1" applyAlignment="1">
      <alignment vertical="center"/>
    </xf>
    <xf numFmtId="38" fontId="3" fillId="0" borderId="19" xfId="1" applyFont="1" applyFill="1" applyBorder="1" applyAlignment="1">
      <alignment vertical="center"/>
    </xf>
    <xf numFmtId="38" fontId="13" fillId="0" borderId="21" xfId="1" applyFont="1" applyFill="1" applyBorder="1" applyAlignment="1">
      <alignment vertical="center"/>
    </xf>
    <xf numFmtId="180" fontId="9" fillId="0" borderId="2" xfId="1" applyNumberFormat="1" applyFont="1" applyBorder="1" applyAlignment="1">
      <alignment vertical="center"/>
    </xf>
    <xf numFmtId="38" fontId="3" fillId="0" borderId="21" xfId="1" applyFont="1" applyFill="1" applyBorder="1" applyAlignment="1">
      <alignment vertical="center"/>
    </xf>
    <xf numFmtId="38" fontId="13" fillId="0" borderId="11" xfId="1" applyFont="1" applyFill="1" applyBorder="1" applyAlignment="1">
      <alignment vertical="center"/>
    </xf>
    <xf numFmtId="38" fontId="12" fillId="0" borderId="1" xfId="1" applyFont="1" applyFill="1" applyBorder="1" applyAlignment="1">
      <alignment vertical="center"/>
    </xf>
    <xf numFmtId="38" fontId="12" fillId="0" borderId="24" xfId="1" applyFont="1" applyFill="1" applyBorder="1" applyAlignment="1">
      <alignment vertical="center"/>
    </xf>
    <xf numFmtId="38" fontId="11" fillId="0" borderId="12" xfId="1" applyFont="1" applyFill="1" applyBorder="1" applyAlignment="1">
      <alignment vertical="center"/>
    </xf>
    <xf numFmtId="38" fontId="12" fillId="0" borderId="26" xfId="1" applyFont="1" applyFill="1" applyBorder="1" applyAlignment="1">
      <alignment vertical="center"/>
    </xf>
    <xf numFmtId="38" fontId="11" fillId="0" borderId="1" xfId="1" applyFont="1" applyFill="1" applyBorder="1" applyAlignment="1">
      <alignment vertical="center"/>
    </xf>
    <xf numFmtId="38" fontId="12" fillId="0" borderId="7" xfId="1" applyFont="1" applyFill="1" applyBorder="1" applyAlignment="1">
      <alignment vertical="center"/>
    </xf>
    <xf numFmtId="38" fontId="12" fillId="0" borderId="13" xfId="1" applyFont="1" applyFill="1" applyBorder="1" applyAlignment="1">
      <alignment vertical="center"/>
    </xf>
    <xf numFmtId="38" fontId="11" fillId="0" borderId="27" xfId="1" applyFont="1" applyFill="1" applyBorder="1" applyAlignment="1">
      <alignment vertical="center"/>
    </xf>
    <xf numFmtId="38" fontId="11" fillId="0" borderId="21" xfId="1" applyFont="1" applyFill="1" applyBorder="1" applyAlignment="1">
      <alignment vertical="center"/>
    </xf>
    <xf numFmtId="38" fontId="5" fillId="0" borderId="13" xfId="1" applyFont="1" applyFill="1" applyBorder="1" applyAlignment="1">
      <alignment vertical="center"/>
    </xf>
    <xf numFmtId="38" fontId="5" fillId="0" borderId="32" xfId="1" applyFont="1" applyFill="1" applyBorder="1" applyAlignment="1">
      <alignment vertical="center"/>
    </xf>
    <xf numFmtId="180" fontId="9" fillId="0" borderId="9" xfId="1" applyNumberFormat="1" applyFont="1" applyBorder="1" applyAlignment="1">
      <alignment vertical="center"/>
    </xf>
    <xf numFmtId="38" fontId="11" fillId="0" borderId="14" xfId="1" applyFont="1" applyFill="1" applyBorder="1" applyAlignment="1">
      <alignment vertical="center"/>
    </xf>
    <xf numFmtId="178" fontId="10" fillId="0" borderId="25" xfId="1" applyNumberFormat="1" applyFont="1" applyFill="1" applyBorder="1" applyAlignment="1">
      <alignment vertical="center"/>
    </xf>
    <xf numFmtId="178" fontId="6" fillId="0" borderId="2" xfId="0" applyNumberFormat="1" applyFont="1" applyBorder="1">
      <alignment vertical="center"/>
    </xf>
    <xf numFmtId="178" fontId="19" fillId="0" borderId="37" xfId="1" applyNumberFormat="1" applyFont="1" applyFill="1" applyBorder="1" applyAlignment="1">
      <alignment vertical="center"/>
    </xf>
    <xf numFmtId="178" fontId="10" fillId="0" borderId="4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17" fillId="0" borderId="0" xfId="3" applyFont="1"/>
    <xf numFmtId="0" fontId="6" fillId="0" borderId="0" xfId="3" applyFont="1"/>
    <xf numFmtId="180" fontId="9" fillId="0" borderId="2" xfId="1" applyNumberFormat="1" applyFont="1" applyFill="1" applyBorder="1" applyAlignment="1">
      <alignment vertical="center"/>
    </xf>
    <xf numFmtId="180" fontId="9" fillId="0" borderId="5" xfId="1" applyNumberFormat="1" applyFont="1" applyBorder="1" applyAlignment="1">
      <alignment vertical="center"/>
    </xf>
    <xf numFmtId="181" fontId="20" fillId="0" borderId="0" xfId="3" applyNumberFormat="1" applyFont="1"/>
    <xf numFmtId="38" fontId="9" fillId="0" borderId="22" xfId="1" applyFont="1" applyFill="1" applyBorder="1" applyAlignment="1">
      <alignment vertical="center"/>
    </xf>
    <xf numFmtId="38" fontId="5" fillId="0" borderId="12" xfId="1" applyFont="1" applyFill="1" applyBorder="1" applyAlignment="1">
      <alignment vertical="center"/>
    </xf>
    <xf numFmtId="38" fontId="5" fillId="0" borderId="31" xfId="1" applyFont="1" applyFill="1" applyBorder="1" applyAlignment="1">
      <alignment vertical="center"/>
    </xf>
    <xf numFmtId="38" fontId="11" fillId="0" borderId="45" xfId="1" applyFont="1" applyFill="1" applyBorder="1" applyAlignment="1">
      <alignment vertical="center"/>
    </xf>
    <xf numFmtId="38" fontId="12" fillId="0" borderId="46" xfId="1" applyFont="1" applyFill="1" applyBorder="1" applyAlignment="1">
      <alignment vertical="center"/>
    </xf>
    <xf numFmtId="38" fontId="3" fillId="0" borderId="45" xfId="1" applyFont="1" applyFill="1" applyBorder="1" applyAlignment="1">
      <alignment vertical="center"/>
    </xf>
    <xf numFmtId="38" fontId="3" fillId="0" borderId="46" xfId="1" applyFont="1" applyFill="1" applyBorder="1" applyAlignment="1">
      <alignment vertical="center"/>
    </xf>
    <xf numFmtId="38" fontId="11" fillId="0" borderId="50" xfId="1" applyFont="1" applyFill="1" applyBorder="1" applyAlignment="1">
      <alignment vertical="center"/>
    </xf>
    <xf numFmtId="38" fontId="3" fillId="0" borderId="49" xfId="1" applyFont="1" applyFill="1" applyBorder="1" applyAlignment="1">
      <alignment vertical="center"/>
    </xf>
    <xf numFmtId="38" fontId="13" fillId="0" borderId="14" xfId="1" applyFont="1" applyFill="1" applyBorder="1" applyAlignment="1">
      <alignment vertical="center"/>
    </xf>
    <xf numFmtId="38" fontId="13" fillId="0" borderId="49" xfId="1" applyFont="1" applyFill="1" applyBorder="1" applyAlignment="1">
      <alignment vertical="center"/>
    </xf>
    <xf numFmtId="38" fontId="6" fillId="0" borderId="0" xfId="3" applyNumberFormat="1" applyFont="1"/>
    <xf numFmtId="38" fontId="7" fillId="0" borderId="0" xfId="1" applyFont="1" applyFill="1" applyBorder="1" applyAlignment="1">
      <alignment vertical="center" wrapText="1"/>
    </xf>
    <xf numFmtId="0" fontId="21" fillId="0" borderId="0" xfId="3" applyFont="1"/>
    <xf numFmtId="180" fontId="9" fillId="0" borderId="5" xfId="1" applyNumberFormat="1" applyFont="1" applyFill="1" applyBorder="1" applyAlignment="1">
      <alignment vertical="center"/>
    </xf>
    <xf numFmtId="0" fontId="22" fillId="0" borderId="0" xfId="0" applyFont="1">
      <alignment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38" fontId="1" fillId="0" borderId="0" xfId="3" applyNumberFormat="1"/>
    <xf numFmtId="38" fontId="9" fillId="0" borderId="53" xfId="1" applyFont="1" applyFill="1" applyBorder="1" applyAlignment="1">
      <alignment vertical="center"/>
    </xf>
    <xf numFmtId="38" fontId="6" fillId="0" borderId="0" xfId="1" applyFont="1" applyFill="1" applyBorder="1" applyAlignment="1">
      <alignment vertical="center"/>
    </xf>
    <xf numFmtId="38" fontId="3" fillId="0" borderId="54" xfId="1" applyFont="1" applyFill="1" applyBorder="1" applyAlignment="1">
      <alignment vertical="center"/>
    </xf>
    <xf numFmtId="38" fontId="11" fillId="0" borderId="23" xfId="1" applyFont="1" applyFill="1" applyBorder="1" applyAlignment="1">
      <alignment vertical="center"/>
    </xf>
    <xf numFmtId="38" fontId="3" fillId="0" borderId="32" xfId="1" applyFont="1" applyFill="1" applyBorder="1" applyAlignment="1">
      <alignment vertical="center"/>
    </xf>
    <xf numFmtId="38" fontId="3" fillId="0" borderId="0" xfId="1" applyFont="1" applyFill="1" applyBorder="1" applyAlignment="1">
      <alignment vertical="center"/>
    </xf>
    <xf numFmtId="38" fontId="11" fillId="0" borderId="2" xfId="1" applyFont="1" applyFill="1" applyBorder="1" applyAlignment="1">
      <alignment vertical="center"/>
    </xf>
    <xf numFmtId="38" fontId="12" fillId="0" borderId="2" xfId="1" applyFont="1" applyFill="1" applyBorder="1" applyAlignment="1">
      <alignment vertical="center"/>
    </xf>
    <xf numFmtId="38" fontId="3" fillId="0" borderId="2" xfId="1" applyFont="1" applyFill="1" applyBorder="1" applyAlignment="1">
      <alignment vertical="center"/>
    </xf>
    <xf numFmtId="38" fontId="1" fillId="0" borderId="0" xfId="1" applyFont="1" applyFill="1" applyBorder="1" applyAlignment="1">
      <alignment vertical="center"/>
    </xf>
    <xf numFmtId="38" fontId="11" fillId="0" borderId="36" xfId="1" applyFont="1" applyFill="1" applyBorder="1" applyAlignment="1">
      <alignment vertical="center"/>
    </xf>
    <xf numFmtId="38" fontId="11" fillId="0" borderId="19" xfId="1" applyFont="1" applyFill="1" applyBorder="1" applyAlignment="1">
      <alignment vertical="center"/>
    </xf>
    <xf numFmtId="38" fontId="11" fillId="0" borderId="19" xfId="1" applyFont="1" applyFill="1" applyBorder="1">
      <alignment vertical="center"/>
    </xf>
    <xf numFmtId="38" fontId="11" fillId="0" borderId="44" xfId="1" applyFont="1" applyFill="1" applyBorder="1" applyAlignment="1">
      <alignment vertical="center"/>
    </xf>
    <xf numFmtId="38" fontId="11" fillId="0" borderId="25" xfId="1" applyFont="1" applyFill="1" applyBorder="1" applyAlignment="1">
      <alignment vertical="center"/>
    </xf>
    <xf numFmtId="38" fontId="8" fillId="0" borderId="21" xfId="1" applyFont="1" applyFill="1" applyBorder="1" applyAlignment="1">
      <alignment vertical="center"/>
    </xf>
    <xf numFmtId="38" fontId="11" fillId="0" borderId="5" xfId="1" applyFont="1" applyFill="1" applyBorder="1" applyAlignment="1">
      <alignment vertical="center"/>
    </xf>
    <xf numFmtId="38" fontId="12" fillId="0" borderId="5" xfId="1" applyFont="1" applyFill="1" applyBorder="1" applyAlignment="1">
      <alignment vertical="center"/>
    </xf>
    <xf numFmtId="181" fontId="6" fillId="0" borderId="0" xfId="3" applyNumberFormat="1" applyFont="1" applyAlignment="1">
      <alignment horizontal="right"/>
    </xf>
    <xf numFmtId="0" fontId="6" fillId="0" borderId="0" xfId="3" applyFont="1" applyAlignment="1">
      <alignment horizontal="center" vertical="center"/>
    </xf>
    <xf numFmtId="0" fontId="9" fillId="0" borderId="56" xfId="3" applyFont="1" applyBorder="1" applyAlignment="1">
      <alignment horizontal="center" vertical="center"/>
    </xf>
    <xf numFmtId="0" fontId="9" fillId="0" borderId="57" xfId="3" applyFont="1" applyBorder="1" applyAlignment="1">
      <alignment horizontal="center" vertical="center"/>
    </xf>
    <xf numFmtId="0" fontId="9" fillId="0" borderId="58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180" fontId="9" fillId="0" borderId="59" xfId="1" applyNumberFormat="1" applyFont="1" applyFill="1" applyBorder="1" applyAlignment="1">
      <alignment vertical="center"/>
    </xf>
    <xf numFmtId="180" fontId="8" fillId="0" borderId="60" xfId="1" applyNumberFormat="1" applyFont="1" applyBorder="1" applyAlignment="1">
      <alignment vertical="center"/>
    </xf>
    <xf numFmtId="180" fontId="9" fillId="0" borderId="61" xfId="1" applyNumberFormat="1" applyFont="1" applyFill="1" applyBorder="1" applyAlignment="1">
      <alignment vertical="center"/>
    </xf>
    <xf numFmtId="180" fontId="9" fillId="0" borderId="38" xfId="1" applyNumberFormat="1" applyFont="1" applyFill="1" applyBorder="1" applyAlignment="1">
      <alignment vertical="center"/>
    </xf>
    <xf numFmtId="180" fontId="8" fillId="0" borderId="39" xfId="1" applyNumberFormat="1" applyFont="1" applyBorder="1" applyAlignment="1">
      <alignment vertical="center"/>
    </xf>
    <xf numFmtId="180" fontId="9" fillId="0" borderId="40" xfId="1" applyNumberFormat="1" applyFont="1" applyBorder="1" applyAlignment="1">
      <alignment vertical="center"/>
    </xf>
    <xf numFmtId="180" fontId="9" fillId="0" borderId="41" xfId="1" applyNumberFormat="1" applyFont="1" applyBorder="1" applyAlignment="1">
      <alignment vertical="center"/>
    </xf>
    <xf numFmtId="180" fontId="8" fillId="0" borderId="42" xfId="1" applyNumberFormat="1" applyFont="1" applyBorder="1" applyAlignment="1">
      <alignment vertical="center"/>
    </xf>
    <xf numFmtId="38" fontId="9" fillId="2" borderId="0" xfId="3" applyNumberFormat="1" applyFont="1" applyFill="1" applyAlignment="1">
      <alignment vertical="center"/>
    </xf>
    <xf numFmtId="0" fontId="7" fillId="0" borderId="0" xfId="3" applyFont="1" applyAlignment="1">
      <alignment horizontal="center"/>
    </xf>
    <xf numFmtId="0" fontId="7" fillId="0" borderId="0" xfId="3" applyFont="1"/>
    <xf numFmtId="178" fontId="9" fillId="0" borderId="9" xfId="1" applyNumberFormat="1" applyFont="1" applyFill="1" applyBorder="1" applyAlignment="1">
      <alignment vertical="center"/>
    </xf>
    <xf numFmtId="178" fontId="9" fillId="0" borderId="9" xfId="0" applyNumberFormat="1" applyFont="1" applyBorder="1">
      <alignment vertical="center"/>
    </xf>
    <xf numFmtId="178" fontId="9" fillId="0" borderId="2" xfId="1" applyNumberFormat="1" applyFont="1" applyFill="1" applyBorder="1" applyAlignment="1">
      <alignment vertical="center"/>
    </xf>
    <xf numFmtId="178" fontId="9" fillId="0" borderId="2" xfId="0" applyNumberFormat="1" applyFont="1" applyBorder="1">
      <alignment vertical="center"/>
    </xf>
    <xf numFmtId="178" fontId="9" fillId="0" borderId="5" xfId="1" applyNumberFormat="1" applyFont="1" applyFill="1" applyBorder="1" applyAlignment="1">
      <alignment vertical="center"/>
    </xf>
    <xf numFmtId="178" fontId="9" fillId="0" borderId="5" xfId="0" applyNumberFormat="1" applyFont="1" applyBorder="1">
      <alignment vertical="center"/>
    </xf>
    <xf numFmtId="178" fontId="8" fillId="0" borderId="4" xfId="0" applyNumberFormat="1" applyFont="1" applyBorder="1">
      <alignment vertical="center"/>
    </xf>
    <xf numFmtId="38" fontId="11" fillId="0" borderId="37" xfId="1" applyFont="1" applyFill="1" applyBorder="1" applyAlignment="1">
      <alignment vertical="center"/>
    </xf>
    <xf numFmtId="38" fontId="11" fillId="0" borderId="20" xfId="1" applyFont="1" applyFill="1" applyBorder="1" applyAlignment="1">
      <alignment vertical="center"/>
    </xf>
    <xf numFmtId="0" fontId="3" fillId="0" borderId="0" xfId="2" applyFont="1"/>
    <xf numFmtId="0" fontId="13" fillId="0" borderId="0" xfId="2" applyFont="1" applyAlignment="1">
      <alignment horizontal="center"/>
    </xf>
    <xf numFmtId="0" fontId="4" fillId="0" borderId="0" xfId="2" applyFont="1"/>
    <xf numFmtId="0" fontId="5" fillId="0" borderId="29" xfId="0" applyFont="1" applyBorder="1">
      <alignment vertical="center"/>
    </xf>
    <xf numFmtId="0" fontId="1" fillId="0" borderId="0" xfId="0" applyFont="1">
      <alignment vertical="center"/>
    </xf>
    <xf numFmtId="0" fontId="9" fillId="0" borderId="5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4" fillId="0" borderId="2" xfId="0" applyFont="1" applyBorder="1">
      <alignment vertical="center"/>
    </xf>
    <xf numFmtId="0" fontId="5" fillId="0" borderId="43" xfId="0" applyFont="1" applyBorder="1" applyAlignment="1">
      <alignment horizontal="right" vertical="center"/>
    </xf>
    <xf numFmtId="0" fontId="14" fillId="0" borderId="2" xfId="0" applyFont="1" applyBorder="1" applyAlignment="1">
      <alignment vertical="center" shrinkToFit="1"/>
    </xf>
    <xf numFmtId="38" fontId="3" fillId="0" borderId="0" xfId="0" applyNumberFormat="1" applyFont="1" applyAlignment="1">
      <alignment horizontal="right" vertical="center"/>
    </xf>
    <xf numFmtId="0" fontId="3" fillId="0" borderId="9" xfId="0" applyFont="1" applyBorder="1">
      <alignment vertical="center"/>
    </xf>
    <xf numFmtId="0" fontId="3" fillId="0" borderId="0" xfId="0" applyFont="1" applyAlignment="1">
      <alignment horizontal="right" vertical="center"/>
    </xf>
    <xf numFmtId="38" fontId="1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2" applyFont="1" applyBorder="1" applyAlignment="1">
      <alignment vertical="center"/>
    </xf>
    <xf numFmtId="0" fontId="14" fillId="0" borderId="9" xfId="2" applyFont="1" applyBorder="1" applyAlignment="1">
      <alignment vertical="center" shrinkToFit="1"/>
    </xf>
    <xf numFmtId="0" fontId="5" fillId="0" borderId="32" xfId="0" applyFont="1" applyBorder="1" applyAlignment="1">
      <alignment vertical="center" wrapText="1"/>
    </xf>
    <xf numFmtId="0" fontId="14" fillId="0" borderId="9" xfId="0" applyFont="1" applyBorder="1" applyAlignment="1">
      <alignment vertical="center" shrinkToFit="1"/>
    </xf>
    <xf numFmtId="0" fontId="9" fillId="0" borderId="31" xfId="0" applyFont="1" applyBorder="1">
      <alignment vertical="center"/>
    </xf>
    <xf numFmtId="0" fontId="3" fillId="0" borderId="3" xfId="2" applyFont="1" applyBorder="1" applyAlignment="1">
      <alignment vertical="center"/>
    </xf>
    <xf numFmtId="0" fontId="5" fillId="0" borderId="32" xfId="0" applyFont="1" applyBorder="1">
      <alignment vertical="center"/>
    </xf>
    <xf numFmtId="0" fontId="14" fillId="0" borderId="2" xfId="2" applyFont="1" applyBorder="1" applyAlignment="1">
      <alignment vertical="center" shrinkToFit="1"/>
    </xf>
    <xf numFmtId="0" fontId="5" fillId="0" borderId="31" xfId="0" applyFont="1" applyBorder="1">
      <alignment vertical="center"/>
    </xf>
    <xf numFmtId="0" fontId="3" fillId="0" borderId="9" xfId="2" applyFont="1" applyBorder="1" applyAlignment="1">
      <alignment vertical="center"/>
    </xf>
    <xf numFmtId="0" fontId="5" fillId="0" borderId="33" xfId="0" applyFont="1" applyBorder="1">
      <alignment vertical="center"/>
    </xf>
    <xf numFmtId="0" fontId="12" fillId="0" borderId="0" xfId="0" applyFont="1">
      <alignment vertical="center"/>
    </xf>
    <xf numFmtId="0" fontId="14" fillId="0" borderId="3" xfId="2" applyFont="1" applyBorder="1" applyAlignment="1">
      <alignment vertical="center" shrinkToFit="1"/>
    </xf>
    <xf numFmtId="0" fontId="12" fillId="0" borderId="28" xfId="2" applyFont="1" applyBorder="1" applyAlignment="1">
      <alignment vertical="center" shrinkToFit="1"/>
    </xf>
    <xf numFmtId="0" fontId="9" fillId="0" borderId="32" xfId="0" applyFont="1" applyBorder="1">
      <alignment vertical="center"/>
    </xf>
    <xf numFmtId="0" fontId="3" fillId="0" borderId="5" xfId="2" applyFont="1" applyBorder="1" applyAlignment="1">
      <alignment vertical="center"/>
    </xf>
    <xf numFmtId="0" fontId="14" fillId="0" borderId="5" xfId="2" applyFont="1" applyBorder="1" applyAlignment="1">
      <alignment vertical="center" shrinkToFit="1"/>
    </xf>
    <xf numFmtId="0" fontId="5" fillId="0" borderId="47" xfId="0" applyFont="1" applyBorder="1">
      <alignment vertical="center"/>
    </xf>
    <xf numFmtId="0" fontId="3" fillId="0" borderId="48" xfId="2" applyFont="1" applyBorder="1" applyAlignment="1">
      <alignment vertical="center"/>
    </xf>
    <xf numFmtId="0" fontId="13" fillId="0" borderId="49" xfId="2" applyFont="1" applyBorder="1" applyAlignment="1">
      <alignment vertical="center" shrinkToFit="1"/>
    </xf>
    <xf numFmtId="0" fontId="5" fillId="0" borderId="55" xfId="0" applyFont="1" applyBorder="1">
      <alignment vertical="center"/>
    </xf>
    <xf numFmtId="38" fontId="3" fillId="0" borderId="0" xfId="0" applyNumberFormat="1" applyFont="1">
      <alignment vertical="center"/>
    </xf>
    <xf numFmtId="14" fontId="1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3" fillId="0" borderId="10" xfId="2" applyFont="1" applyBorder="1" applyAlignment="1">
      <alignment vertical="center"/>
    </xf>
    <xf numFmtId="0" fontId="3" fillId="0" borderId="32" xfId="0" applyFont="1" applyBorder="1">
      <alignment vertical="center"/>
    </xf>
    <xf numFmtId="38" fontId="9" fillId="0" borderId="0" xfId="0" applyNumberFormat="1" applyFont="1">
      <alignment vertical="center"/>
    </xf>
    <xf numFmtId="0" fontId="1" fillId="0" borderId="0" xfId="0" applyFont="1" applyAlignment="1">
      <alignment vertical="center" shrinkToFit="1"/>
    </xf>
    <xf numFmtId="38" fontId="3" fillId="0" borderId="32" xfId="0" applyNumberFormat="1" applyFont="1" applyBorder="1">
      <alignment vertical="center"/>
    </xf>
    <xf numFmtId="0" fontId="3" fillId="0" borderId="10" xfId="0" applyFont="1" applyBorder="1">
      <alignment vertical="center"/>
    </xf>
    <xf numFmtId="0" fontId="3" fillId="0" borderId="3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6" fillId="0" borderId="32" xfId="0" applyFont="1" applyBorder="1" applyAlignment="1">
      <alignment vertical="center" wrapText="1"/>
    </xf>
    <xf numFmtId="0" fontId="3" fillId="0" borderId="5" xfId="0" applyFont="1" applyBorder="1">
      <alignment vertical="center"/>
    </xf>
    <xf numFmtId="0" fontId="3" fillId="0" borderId="2" xfId="0" applyFont="1" applyBorder="1" applyAlignment="1">
      <alignment vertical="center" shrinkToFit="1"/>
    </xf>
    <xf numFmtId="0" fontId="3" fillId="0" borderId="2" xfId="2" applyFont="1" applyBorder="1" applyAlignment="1">
      <alignment horizontal="right" vertical="center"/>
    </xf>
    <xf numFmtId="0" fontId="5" fillId="0" borderId="34" xfId="0" applyFont="1" applyBorder="1">
      <alignment vertical="center"/>
    </xf>
    <xf numFmtId="0" fontId="3" fillId="0" borderId="11" xfId="2" applyFont="1" applyBorder="1" applyAlignment="1">
      <alignment vertical="center"/>
    </xf>
    <xf numFmtId="0" fontId="13" fillId="0" borderId="11" xfId="2" applyFont="1" applyBorder="1" applyAlignment="1">
      <alignment vertical="center"/>
    </xf>
    <xf numFmtId="0" fontId="5" fillId="0" borderId="35" xfId="0" applyFont="1" applyBorder="1">
      <alignment vertical="center"/>
    </xf>
    <xf numFmtId="0" fontId="5" fillId="0" borderId="0" xfId="0" applyFont="1">
      <alignment vertical="center"/>
    </xf>
    <xf numFmtId="38" fontId="5" fillId="0" borderId="0" xfId="0" applyNumberFormat="1" applyFont="1">
      <alignment vertical="center"/>
    </xf>
    <xf numFmtId="58" fontId="3" fillId="0" borderId="0" xfId="0" applyNumberFormat="1" applyFo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38" fontId="11" fillId="0" borderId="2" xfId="0" applyNumberFormat="1" applyFont="1" applyBorder="1">
      <alignment vertical="center"/>
    </xf>
    <xf numFmtId="0" fontId="5" fillId="0" borderId="2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38" fontId="11" fillId="0" borderId="3" xfId="0" applyNumberFormat="1" applyFont="1" applyBorder="1">
      <alignment vertical="center"/>
    </xf>
    <xf numFmtId="0" fontId="5" fillId="0" borderId="3" xfId="0" applyFont="1" applyBorder="1">
      <alignment vertical="center"/>
    </xf>
    <xf numFmtId="0" fontId="1" fillId="0" borderId="5" xfId="0" applyFont="1" applyBorder="1">
      <alignment vertical="center"/>
    </xf>
    <xf numFmtId="0" fontId="14" fillId="0" borderId="5" xfId="0" applyFont="1" applyBorder="1">
      <alignment vertical="center"/>
    </xf>
    <xf numFmtId="38" fontId="11" fillId="0" borderId="5" xfId="0" applyNumberFormat="1" applyFont="1" applyBorder="1">
      <alignment vertical="center"/>
    </xf>
    <xf numFmtId="0" fontId="5" fillId="0" borderId="5" xfId="0" applyFont="1" applyBorder="1">
      <alignment vertical="center"/>
    </xf>
    <xf numFmtId="0" fontId="1" fillId="0" borderId="9" xfId="0" applyFont="1" applyBorder="1">
      <alignment vertical="center"/>
    </xf>
    <xf numFmtId="0" fontId="12" fillId="0" borderId="9" xfId="0" applyFont="1" applyBorder="1">
      <alignment vertical="center"/>
    </xf>
    <xf numFmtId="38" fontId="11" fillId="0" borderId="9" xfId="0" applyNumberFormat="1" applyFont="1" applyBorder="1">
      <alignment vertical="center"/>
    </xf>
    <xf numFmtId="0" fontId="5" fillId="0" borderId="9" xfId="0" applyFont="1" applyBorder="1">
      <alignment vertical="center"/>
    </xf>
    <xf numFmtId="0" fontId="1" fillId="0" borderId="0" xfId="2"/>
    <xf numFmtId="0" fontId="1" fillId="0" borderId="2" xfId="2" applyBorder="1"/>
    <xf numFmtId="0" fontId="1" fillId="0" borderId="8" xfId="2" applyBorder="1"/>
    <xf numFmtId="0" fontId="1" fillId="0" borderId="5" xfId="2" applyBorder="1" applyAlignment="1">
      <alignment vertical="center"/>
    </xf>
    <xf numFmtId="18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14" fontId="0" fillId="3" borderId="0" xfId="0" applyNumberFormat="1" applyFill="1">
      <alignment vertical="center"/>
    </xf>
    <xf numFmtId="14" fontId="0" fillId="4" borderId="0" xfId="0" applyNumberFormat="1" applyFill="1">
      <alignment vertical="center"/>
    </xf>
    <xf numFmtId="0" fontId="0" fillId="4" borderId="0" xfId="0" applyFill="1">
      <alignment vertical="center"/>
    </xf>
    <xf numFmtId="0" fontId="13" fillId="0" borderId="21" xfId="2" applyFont="1" applyBorder="1" applyAlignment="1">
      <alignment horizontal="center" vertical="center"/>
    </xf>
    <xf numFmtId="0" fontId="13" fillId="0" borderId="22" xfId="2" applyFont="1" applyBorder="1" applyAlignment="1">
      <alignment horizontal="center" vertical="center"/>
    </xf>
    <xf numFmtId="179" fontId="23" fillId="0" borderId="8" xfId="2" applyNumberFormat="1" applyFont="1" applyBorder="1" applyAlignment="1">
      <alignment horizontal="left"/>
    </xf>
    <xf numFmtId="179" fontId="23" fillId="0" borderId="51" xfId="2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9" fillId="0" borderId="0" xfId="3" applyFont="1" applyAlignment="1">
      <alignment horizontal="center"/>
    </xf>
    <xf numFmtId="0" fontId="1" fillId="0" borderId="0" xfId="3" applyAlignment="1">
      <alignment horizontal="center"/>
    </xf>
    <xf numFmtId="0" fontId="1" fillId="0" borderId="0" xfId="3" applyAlignment="1">
      <alignment horizontal="right"/>
    </xf>
    <xf numFmtId="0" fontId="9" fillId="0" borderId="0" xfId="3" applyFont="1" applyAlignment="1">
      <alignment horizontal="left"/>
    </xf>
    <xf numFmtId="181" fontId="6" fillId="0" borderId="0" xfId="0" applyNumberFormat="1" applyFont="1" applyAlignment="1">
      <alignment horizontal="right" vertical="center"/>
    </xf>
    <xf numFmtId="181" fontId="6" fillId="0" borderId="0" xfId="0" applyNumberFormat="1" applyFont="1" applyAlignment="1">
      <alignment horizontal="left" vertical="center"/>
    </xf>
    <xf numFmtId="0" fontId="9" fillId="0" borderId="0" xfId="3" applyFont="1" applyAlignment="1">
      <alignment horizontal="right"/>
    </xf>
  </cellXfs>
  <cellStyles count="4">
    <cellStyle name="桁区切り" xfId="1" builtinId="6"/>
    <cellStyle name="標準" xfId="0" builtinId="0"/>
    <cellStyle name="標準_Sheet1" xfId="2" xr:uid="{00000000-0005-0000-0000-000002000000}"/>
    <cellStyle name="標準_振込み表25-08-05" xfId="3" xr:uid="{00000000-0005-0000-0000-000003000000}"/>
  </cellStyles>
  <dxfs count="0"/>
  <tableStyles count="0" defaultTableStyle="TableStyleMedium9" defaultPivotStyle="PivotStyleLight16"/>
  <colors>
    <mruColors>
      <color rgb="FFFFCCFF"/>
      <color rgb="FFFFFFCC"/>
      <color rgb="FFBDFC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3</xdr:row>
      <xdr:rowOff>28575</xdr:rowOff>
    </xdr:from>
    <xdr:to>
      <xdr:col>6</xdr:col>
      <xdr:colOff>723900</xdr:colOff>
      <xdr:row>5</xdr:row>
      <xdr:rowOff>28575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8BE66A6-BE22-497B-8482-9544F755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857250"/>
          <a:ext cx="5619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904875</xdr:colOff>
      <xdr:row>3</xdr:row>
      <xdr:rowOff>76200</xdr:rowOff>
    </xdr:from>
    <xdr:to>
      <xdr:col>4</xdr:col>
      <xdr:colOff>504825</xdr:colOff>
      <xdr:row>4</xdr:row>
      <xdr:rowOff>295275</xdr:rowOff>
    </xdr:to>
    <xdr:pic>
      <xdr:nvPicPr>
        <xdr:cNvPr id="3" name="図 1">
          <a:extLst>
            <a:ext uri="{FF2B5EF4-FFF2-40B4-BE49-F238E27FC236}">
              <a16:creationId xmlns:a16="http://schemas.microsoft.com/office/drawing/2014/main" id="{DF5E27A3-B629-4801-8B62-3F9820DA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762000"/>
          <a:ext cx="5619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mile-srv\&#20849;&#26377;\BKUP-001\Documents\Documents\&#36023;&#25499;&#38306;&#20418;\&#25903;&#25173;\&#26032;%20&#25391;&#36796;&#12415;&#26126;&#32048;06-9-20.xlsx" TargetMode="External"/><Relationship Id="rId1" Type="http://schemas.openxmlformats.org/officeDocument/2006/relationships/externalLinkPath" Target="file:///\\smile-srv\&#20849;&#26377;\BKUP-001\Documents\Documents\&#36023;&#25499;&#38306;&#20418;\&#25903;&#25173;\&#26032;%20&#25391;&#36796;&#12415;&#26126;&#32048;06-9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支払い明細"/>
      <sheetName val="中川製袋"/>
      <sheetName val="福通運賃明細"/>
      <sheetName val="泉製紙明細"/>
      <sheetName val="広共明細"/>
    </sheetNames>
    <sheetDataSet>
      <sheetData sheetId="0">
        <row r="5">
          <cell r="L5">
            <v>0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6"/>
  <sheetViews>
    <sheetView zoomScale="73" zoomScaleNormal="73" zoomScaleSheetLayoutView="73" workbookViewId="0">
      <pane ySplit="2" topLeftCell="A23" activePane="bottomLeft" state="frozen"/>
      <selection pane="bottomLeft" activeCell="B33" sqref="B33"/>
    </sheetView>
  </sheetViews>
  <sheetFormatPr defaultRowHeight="21" x14ac:dyDescent="0.15"/>
  <cols>
    <col min="1" max="1" width="10.75" style="123" customWidth="1"/>
    <col min="2" max="2" width="50.625" style="123" customWidth="1"/>
    <col min="3" max="3" width="22.625" style="123" customWidth="1"/>
    <col min="4" max="4" width="21.375" style="9" customWidth="1"/>
    <col min="5" max="5" width="20.875" style="123" customWidth="1"/>
    <col min="6" max="6" width="12.5" style="123" customWidth="1"/>
    <col min="7" max="7" width="8.125" style="123" customWidth="1"/>
    <col min="8" max="8" width="13.25" style="123" customWidth="1"/>
    <col min="9" max="9" width="8.875" style="123" customWidth="1"/>
    <col min="10" max="10" width="41.25" style="178" customWidth="1"/>
    <col min="11" max="11" width="12.75" style="123" customWidth="1"/>
    <col min="12" max="12" width="15.125" style="123" customWidth="1"/>
    <col min="13" max="13" width="9" style="123"/>
    <col min="14" max="14" width="19.125" style="123" customWidth="1"/>
    <col min="15" max="16" width="10.75" style="123" customWidth="1"/>
    <col min="17" max="17" width="19.125" style="123" customWidth="1"/>
    <col min="18" max="16384" width="9" style="123"/>
  </cols>
  <sheetData>
    <row r="1" spans="1:20" ht="37.5" customHeight="1" x14ac:dyDescent="0.2">
      <c r="A1" s="119" t="s">
        <v>82</v>
      </c>
      <c r="B1" s="197"/>
      <c r="C1" s="197"/>
      <c r="D1" s="120" t="s">
        <v>0</v>
      </c>
      <c r="E1" s="209">
        <v>46042</v>
      </c>
      <c r="F1" s="210"/>
      <c r="G1" s="198" t="s">
        <v>1</v>
      </c>
      <c r="H1" s="121" t="s">
        <v>2</v>
      </c>
      <c r="I1" s="199"/>
      <c r="J1" s="122"/>
    </row>
    <row r="2" spans="1:20" ht="30" customHeight="1" thickBot="1" x14ac:dyDescent="0.2">
      <c r="A2" s="200"/>
      <c r="B2" s="124" t="s">
        <v>3</v>
      </c>
      <c r="C2" s="124" t="s">
        <v>4</v>
      </c>
      <c r="D2" s="125" t="s">
        <v>5</v>
      </c>
      <c r="E2" s="124" t="s">
        <v>6</v>
      </c>
      <c r="F2" s="126" t="s">
        <v>7</v>
      </c>
      <c r="G2" s="126" t="s">
        <v>8</v>
      </c>
      <c r="H2" s="126" t="s">
        <v>9</v>
      </c>
      <c r="I2" s="126" t="s">
        <v>10</v>
      </c>
      <c r="J2" s="127" t="s">
        <v>14</v>
      </c>
    </row>
    <row r="3" spans="1:20" ht="41.25" customHeight="1" thickTop="1" x14ac:dyDescent="0.15">
      <c r="A3" s="128">
        <v>21</v>
      </c>
      <c r="B3" s="129" t="s">
        <v>103</v>
      </c>
      <c r="C3" s="78">
        <v>559416</v>
      </c>
      <c r="D3" s="32">
        <f>IF(C3="","",C3-G3-H3-I3)</f>
        <v>559416</v>
      </c>
      <c r="E3" s="30">
        <f t="shared" ref="E3:E7" si="0">IF(C3="","",D3-F3)</f>
        <v>558646</v>
      </c>
      <c r="F3" s="130">
        <f>IF(D3="","",IF(D3=0,"",IF(D3&lt;30000,605,IF(D3&gt;=30000,770))))</f>
        <v>770</v>
      </c>
      <c r="G3" s="54"/>
      <c r="H3" s="54"/>
      <c r="I3" s="39"/>
      <c r="J3" s="40"/>
      <c r="K3" s="75"/>
      <c r="L3" s="8"/>
      <c r="M3" s="8"/>
      <c r="N3" s="84"/>
      <c r="O3" s="8"/>
      <c r="P3" s="8"/>
    </row>
    <row r="4" spans="1:20" ht="41.25" customHeight="1" x14ac:dyDescent="0.15">
      <c r="A4" s="128">
        <v>22</v>
      </c>
      <c r="B4" s="131" t="s">
        <v>116</v>
      </c>
      <c r="C4" s="78">
        <v>3572250</v>
      </c>
      <c r="D4" s="32">
        <f t="shared" ref="D4:D59" si="1">IF(C4="","",C4-G4-H4-I4)</f>
        <v>3518667</v>
      </c>
      <c r="E4" s="30">
        <f t="shared" si="0"/>
        <v>3517897</v>
      </c>
      <c r="F4" s="130">
        <f>IF(D4="","",IF(D4=0,"",IF(D4&lt;30000,605,IF(D4&gt;=30000,770))))</f>
        <v>770</v>
      </c>
      <c r="G4" s="15"/>
      <c r="H4" s="15">
        <f>L4</f>
        <v>53583</v>
      </c>
      <c r="I4" s="19"/>
      <c r="J4" s="40"/>
      <c r="K4" s="132">
        <f>SUM(D4:D5)</f>
        <v>3518667</v>
      </c>
      <c r="L4" s="7">
        <f>INT(C4*0.015)</f>
        <v>53583</v>
      </c>
    </row>
    <row r="5" spans="1:20" ht="41.25" hidden="1" customHeight="1" x14ac:dyDescent="0.15">
      <c r="A5" s="133">
        <v>22</v>
      </c>
      <c r="B5" s="131" t="s">
        <v>89</v>
      </c>
      <c r="C5" s="78"/>
      <c r="D5" s="32" t="str">
        <f t="shared" si="1"/>
        <v/>
      </c>
      <c r="E5" s="30" t="str">
        <f t="shared" si="0"/>
        <v/>
      </c>
      <c r="F5" s="130"/>
      <c r="G5" s="15"/>
      <c r="H5" s="15">
        <f>L5</f>
        <v>0</v>
      </c>
      <c r="I5" s="19"/>
      <c r="J5" s="40"/>
      <c r="K5" s="134"/>
      <c r="L5" s="7">
        <f>INT(C5*0.015)</f>
        <v>0</v>
      </c>
      <c r="T5" s="9"/>
    </row>
    <row r="6" spans="1:20" ht="41.25" hidden="1" customHeight="1" x14ac:dyDescent="0.15">
      <c r="A6" s="133">
        <v>22</v>
      </c>
      <c r="B6" s="131" t="s">
        <v>88</v>
      </c>
      <c r="C6" s="78"/>
      <c r="D6" s="32" t="str">
        <f>IF(C6="","",C6-G6-H6-I6)</f>
        <v/>
      </c>
      <c r="E6" s="30" t="str">
        <f t="shared" si="0"/>
        <v/>
      </c>
      <c r="F6" s="130" t="str">
        <f>IF(D6="","",IF(D6=0,"",IF(D6&lt;30000,605,IF(D6&gt;=30000,770))))</f>
        <v/>
      </c>
      <c r="G6" s="15"/>
      <c r="H6" s="15">
        <f>L6</f>
        <v>0</v>
      </c>
      <c r="I6" s="21"/>
      <c r="J6" s="55">
        <f>SUM(C4:C6)</f>
        <v>3572250</v>
      </c>
      <c r="K6" s="135">
        <f>SUM(E4:E6)</f>
        <v>3517897</v>
      </c>
      <c r="L6" s="123">
        <f>INT(C6*0.015)</f>
        <v>0</v>
      </c>
      <c r="M6" s="123">
        <f>SUM(L4:L6)</f>
        <v>53583</v>
      </c>
      <c r="Q6" s="136"/>
      <c r="R6" s="137"/>
    </row>
    <row r="7" spans="1:20" ht="41.25" customHeight="1" x14ac:dyDescent="0.15">
      <c r="A7" s="138">
        <v>95</v>
      </c>
      <c r="B7" s="139" t="s">
        <v>91</v>
      </c>
      <c r="C7" s="78">
        <v>447755</v>
      </c>
      <c r="D7" s="32">
        <f>IF(C7="","",C7-G7-H7-I7)</f>
        <v>447755</v>
      </c>
      <c r="E7" s="30">
        <f t="shared" si="0"/>
        <v>446985</v>
      </c>
      <c r="F7" s="130">
        <f>IF(D7="","",IF(D7=0,"",IF(D7&lt;30000,605,IF(D7&gt;=30000,770))))</f>
        <v>770</v>
      </c>
      <c r="G7" s="15"/>
      <c r="H7" s="15"/>
      <c r="I7" s="21"/>
      <c r="J7" s="140"/>
    </row>
    <row r="8" spans="1:20" ht="41.25" customHeight="1" x14ac:dyDescent="0.15">
      <c r="A8" s="133">
        <v>191</v>
      </c>
      <c r="B8" s="141" t="s">
        <v>104</v>
      </c>
      <c r="C8" s="85">
        <v>47905</v>
      </c>
      <c r="D8" s="32">
        <f t="shared" si="1"/>
        <v>47905</v>
      </c>
      <c r="E8" s="31">
        <f t="shared" ref="E8:E59" si="2">IF(C8="","",D8-F8)</f>
        <v>47575</v>
      </c>
      <c r="F8" s="130">
        <f>IF(D8="","",IF(D8=0,"",IF(D8&lt;30000,110,IF(D8&gt;=30000,330))))</f>
        <v>330</v>
      </c>
      <c r="G8" s="17"/>
      <c r="H8" s="17"/>
      <c r="I8" s="18"/>
      <c r="J8" s="142" t="s">
        <v>32</v>
      </c>
    </row>
    <row r="9" spans="1:20" ht="41.25" customHeight="1" x14ac:dyDescent="0.15">
      <c r="A9" s="143">
        <v>210</v>
      </c>
      <c r="B9" s="139" t="s">
        <v>102</v>
      </c>
      <c r="C9" s="86">
        <v>209301</v>
      </c>
      <c r="D9" s="32">
        <f t="shared" si="1"/>
        <v>209301</v>
      </c>
      <c r="E9" s="30">
        <f t="shared" si="2"/>
        <v>208531</v>
      </c>
      <c r="F9" s="130">
        <f>IF(D9="","",IF(D9=0,"",IF(D9&lt;30000,605,IF(D9&gt;=30000,770))))</f>
        <v>770</v>
      </c>
      <c r="G9" s="15"/>
      <c r="H9" s="15"/>
      <c r="I9" s="19"/>
      <c r="J9" s="144"/>
    </row>
    <row r="10" spans="1:20" ht="41.25" customHeight="1" x14ac:dyDescent="0.15">
      <c r="A10" s="138">
        <v>233</v>
      </c>
      <c r="B10" s="139" t="s">
        <v>52</v>
      </c>
      <c r="C10" s="78">
        <v>503986</v>
      </c>
      <c r="D10" s="32">
        <f>IF(C10="","",C10-G10-H10-I10)</f>
        <v>503986</v>
      </c>
      <c r="E10" s="30">
        <f>IF(C10="","",D10-F10)</f>
        <v>503216</v>
      </c>
      <c r="F10" s="130">
        <f t="shared" ref="F10:F54" si="3">IF(D10="","",IF(D10=0,"",IF(D10&lt;30000,605,IF(D10&gt;=30000,770))))</f>
        <v>770</v>
      </c>
      <c r="G10" s="20"/>
      <c r="H10" s="15"/>
      <c r="I10" s="21"/>
      <c r="J10" s="140"/>
    </row>
    <row r="11" spans="1:20" ht="41.25" customHeight="1" x14ac:dyDescent="0.15">
      <c r="A11" s="138">
        <v>241</v>
      </c>
      <c r="B11" s="145" t="s">
        <v>101</v>
      </c>
      <c r="C11" s="78">
        <v>568370</v>
      </c>
      <c r="D11" s="32">
        <f t="shared" si="1"/>
        <v>568370</v>
      </c>
      <c r="E11" s="30">
        <f>IF(C11="","",D11-F11)</f>
        <v>567600</v>
      </c>
      <c r="F11" s="130">
        <f t="shared" si="3"/>
        <v>770</v>
      </c>
      <c r="G11" s="20"/>
      <c r="H11" s="15"/>
      <c r="I11" s="15"/>
      <c r="J11" s="140"/>
    </row>
    <row r="12" spans="1:20" ht="41.25" customHeight="1" x14ac:dyDescent="0.15">
      <c r="A12" s="138">
        <v>251</v>
      </c>
      <c r="B12" s="145" t="s">
        <v>85</v>
      </c>
      <c r="C12" s="78">
        <v>158928</v>
      </c>
      <c r="D12" s="32">
        <f t="shared" si="1"/>
        <v>158928</v>
      </c>
      <c r="E12" s="30">
        <f t="shared" si="2"/>
        <v>158158</v>
      </c>
      <c r="F12" s="130">
        <f t="shared" si="3"/>
        <v>770</v>
      </c>
      <c r="G12" s="20"/>
      <c r="H12" s="15"/>
      <c r="I12" s="15"/>
      <c r="J12" s="140"/>
    </row>
    <row r="13" spans="1:20" ht="41.25" hidden="1" customHeight="1" x14ac:dyDescent="0.15">
      <c r="A13" s="138">
        <v>323</v>
      </c>
      <c r="B13" s="139" t="s">
        <v>34</v>
      </c>
      <c r="C13" s="86"/>
      <c r="D13" s="32" t="str">
        <f t="shared" si="1"/>
        <v/>
      </c>
      <c r="E13" s="30" t="str">
        <f t="shared" si="2"/>
        <v/>
      </c>
      <c r="F13" s="130" t="str">
        <f t="shared" si="3"/>
        <v/>
      </c>
      <c r="G13" s="15"/>
      <c r="H13" s="15"/>
      <c r="I13" s="21"/>
      <c r="J13" s="144"/>
      <c r="L13" s="9"/>
    </row>
    <row r="14" spans="1:20" ht="41.25" hidden="1" customHeight="1" x14ac:dyDescent="0.15">
      <c r="A14" s="138">
        <v>371</v>
      </c>
      <c r="B14" s="139" t="s">
        <v>39</v>
      </c>
      <c r="C14" s="86"/>
      <c r="D14" s="32" t="str">
        <f t="shared" si="1"/>
        <v/>
      </c>
      <c r="E14" s="30" t="str">
        <f t="shared" si="2"/>
        <v/>
      </c>
      <c r="F14" s="130" t="str">
        <f t="shared" si="3"/>
        <v/>
      </c>
      <c r="G14" s="15"/>
      <c r="H14" s="15"/>
      <c r="I14" s="21"/>
      <c r="J14" s="144"/>
    </row>
    <row r="15" spans="1:20" ht="41.25" hidden="1" customHeight="1" x14ac:dyDescent="0.15">
      <c r="A15" s="138">
        <v>411</v>
      </c>
      <c r="B15" s="139" t="s">
        <v>113</v>
      </c>
      <c r="C15" s="85"/>
      <c r="D15" s="32" t="str">
        <f t="shared" si="1"/>
        <v/>
      </c>
      <c r="E15" s="30" t="str">
        <f t="shared" si="2"/>
        <v/>
      </c>
      <c r="F15" s="130" t="str">
        <f t="shared" si="3"/>
        <v/>
      </c>
      <c r="G15" s="17"/>
      <c r="H15" s="17"/>
      <c r="I15" s="77"/>
      <c r="J15" s="146"/>
    </row>
    <row r="16" spans="1:20" ht="41.25" customHeight="1" x14ac:dyDescent="0.15">
      <c r="A16" s="147">
        <v>401</v>
      </c>
      <c r="B16" s="139" t="s">
        <v>144</v>
      </c>
      <c r="C16" s="85">
        <v>796810</v>
      </c>
      <c r="D16" s="42">
        <f>IF(C16="","",C16-G16-H16-I16)</f>
        <v>794420</v>
      </c>
      <c r="E16" s="31">
        <f>IF(C16="","",D16-F16)</f>
        <v>794090</v>
      </c>
      <c r="F16" s="130">
        <f>IF(D16="","",IF(D16=0,"",IF(D16&lt;30000,110,IF(D16&gt;=30000,330))))</f>
        <v>330</v>
      </c>
      <c r="G16" s="17"/>
      <c r="H16" s="15">
        <f>L16</f>
        <v>2390</v>
      </c>
      <c r="I16" s="18"/>
      <c r="J16" s="146"/>
      <c r="L16" s="7">
        <f>INT(C16*0.003)</f>
        <v>2390</v>
      </c>
      <c r="M16" s="9" t="s">
        <v>145</v>
      </c>
    </row>
    <row r="17" spans="1:13" ht="41.25" customHeight="1" x14ac:dyDescent="0.15">
      <c r="A17" s="138">
        <v>525</v>
      </c>
      <c r="B17" s="145" t="s">
        <v>77</v>
      </c>
      <c r="C17" s="85">
        <v>513289</v>
      </c>
      <c r="D17" s="42">
        <f>IF(C17="","",C17-G17-H17-I17)</f>
        <v>513289</v>
      </c>
      <c r="E17" s="31">
        <f>IF(C17="","",D17-F17)</f>
        <v>512519</v>
      </c>
      <c r="F17" s="130">
        <f t="shared" si="3"/>
        <v>770</v>
      </c>
      <c r="G17" s="17"/>
      <c r="H17" s="62"/>
      <c r="I17" s="18"/>
      <c r="J17" s="146"/>
      <c r="L17" s="135"/>
    </row>
    <row r="18" spans="1:13" ht="41.25" customHeight="1" x14ac:dyDescent="0.15">
      <c r="A18" s="147">
        <v>541</v>
      </c>
      <c r="B18" s="139" t="s">
        <v>129</v>
      </c>
      <c r="C18" s="85">
        <v>1621191</v>
      </c>
      <c r="D18" s="42">
        <f>IF(C18="","",C18-G18-H18-I18)</f>
        <v>1616328</v>
      </c>
      <c r="E18" s="31">
        <f>IF(C18="","",D18-F18)</f>
        <v>1615558</v>
      </c>
      <c r="F18" s="130">
        <f t="shared" si="3"/>
        <v>770</v>
      </c>
      <c r="G18" s="17"/>
      <c r="H18" s="15">
        <f>L18</f>
        <v>4863</v>
      </c>
      <c r="I18" s="18"/>
      <c r="J18" s="146"/>
      <c r="L18" s="7">
        <f>INT(C18*0.003)</f>
        <v>4863</v>
      </c>
      <c r="M18" s="9" t="s">
        <v>130</v>
      </c>
    </row>
    <row r="19" spans="1:13" ht="41.25" customHeight="1" x14ac:dyDescent="0.15">
      <c r="A19" s="133">
        <v>711</v>
      </c>
      <c r="B19" s="141" t="s">
        <v>78</v>
      </c>
      <c r="C19" s="86"/>
      <c r="D19" s="32" t="str">
        <f>IF(C19="","",C19-G19-H19-I19)</f>
        <v/>
      </c>
      <c r="E19" s="30" t="str">
        <f>IF(C19="","",D19-F19)</f>
        <v/>
      </c>
      <c r="F19" s="130" t="str">
        <f t="shared" si="3"/>
        <v/>
      </c>
      <c r="G19" s="15"/>
      <c r="H19" s="15"/>
      <c r="I19" s="19"/>
      <c r="J19" s="144"/>
    </row>
    <row r="20" spans="1:13" ht="41.25" customHeight="1" x14ac:dyDescent="0.15">
      <c r="A20" s="133">
        <v>751</v>
      </c>
      <c r="B20" s="141" t="s">
        <v>134</v>
      </c>
      <c r="C20" s="78">
        <v>1429592</v>
      </c>
      <c r="D20" s="32">
        <f t="shared" si="1"/>
        <v>1429592</v>
      </c>
      <c r="E20" s="30">
        <f t="shared" si="2"/>
        <v>1428822</v>
      </c>
      <c r="F20" s="130">
        <f t="shared" si="3"/>
        <v>770</v>
      </c>
      <c r="G20" s="15"/>
      <c r="H20" s="15"/>
      <c r="I20" s="19"/>
      <c r="J20" s="148"/>
    </row>
    <row r="21" spans="1:13" ht="41.25" customHeight="1" x14ac:dyDescent="0.15">
      <c r="A21" s="138">
        <v>1002</v>
      </c>
      <c r="B21" s="145" t="s">
        <v>105</v>
      </c>
      <c r="C21" s="78">
        <v>395263</v>
      </c>
      <c r="D21" s="32">
        <f t="shared" si="1"/>
        <v>395263</v>
      </c>
      <c r="E21" s="30">
        <f t="shared" si="2"/>
        <v>394493</v>
      </c>
      <c r="F21" s="130">
        <f t="shared" si="3"/>
        <v>770</v>
      </c>
      <c r="G21" s="15"/>
      <c r="H21" s="15"/>
      <c r="I21" s="19"/>
      <c r="J21" s="148"/>
    </row>
    <row r="22" spans="1:13" ht="41.25" hidden="1" customHeight="1" x14ac:dyDescent="0.15">
      <c r="A22" s="138">
        <v>1003</v>
      </c>
      <c r="B22" s="145" t="s">
        <v>54</v>
      </c>
      <c r="C22" s="78"/>
      <c r="D22" s="32" t="str">
        <f t="shared" si="1"/>
        <v/>
      </c>
      <c r="E22" s="30" t="str">
        <f t="shared" si="2"/>
        <v/>
      </c>
      <c r="F22" s="130" t="str">
        <f t="shared" si="3"/>
        <v/>
      </c>
      <c r="G22" s="15"/>
      <c r="H22" s="15"/>
      <c r="I22" s="19"/>
      <c r="J22" s="144"/>
    </row>
    <row r="23" spans="1:13" ht="41.25" customHeight="1" x14ac:dyDescent="0.15">
      <c r="A23" s="138">
        <v>1080</v>
      </c>
      <c r="B23" s="145" t="s">
        <v>53</v>
      </c>
      <c r="C23" s="86"/>
      <c r="D23" s="32" t="str">
        <f t="shared" si="1"/>
        <v/>
      </c>
      <c r="E23" s="30" t="str">
        <f t="shared" si="2"/>
        <v/>
      </c>
      <c r="F23" s="130" t="str">
        <f t="shared" si="3"/>
        <v/>
      </c>
      <c r="G23" s="15"/>
      <c r="H23" s="15"/>
      <c r="I23" s="19"/>
      <c r="J23" s="144"/>
    </row>
    <row r="24" spans="1:13" ht="41.25" customHeight="1" x14ac:dyDescent="0.15">
      <c r="A24" s="138">
        <v>1102</v>
      </c>
      <c r="B24" s="145" t="s">
        <v>100</v>
      </c>
      <c r="C24" s="78">
        <v>18700</v>
      </c>
      <c r="D24" s="32">
        <f t="shared" si="1"/>
        <v>18700</v>
      </c>
      <c r="E24" s="30">
        <f t="shared" si="2"/>
        <v>18095</v>
      </c>
      <c r="F24" s="130">
        <f t="shared" si="3"/>
        <v>605</v>
      </c>
      <c r="G24" s="15"/>
      <c r="H24" s="15"/>
      <c r="I24" s="19"/>
      <c r="J24" s="144"/>
    </row>
    <row r="25" spans="1:13" ht="41.25" customHeight="1" x14ac:dyDescent="0.15">
      <c r="A25" s="138">
        <v>1120</v>
      </c>
      <c r="B25" s="145" t="s">
        <v>99</v>
      </c>
      <c r="C25" s="86"/>
      <c r="D25" s="32" t="str">
        <f t="shared" si="1"/>
        <v/>
      </c>
      <c r="E25" s="30" t="str">
        <f t="shared" si="2"/>
        <v/>
      </c>
      <c r="F25" s="130" t="str">
        <f t="shared" si="3"/>
        <v/>
      </c>
      <c r="G25" s="15"/>
      <c r="H25" s="15"/>
      <c r="I25" s="19"/>
      <c r="J25" s="144"/>
    </row>
    <row r="26" spans="1:13" ht="41.25" hidden="1" customHeight="1" x14ac:dyDescent="0.15">
      <c r="A26" s="138">
        <v>1201</v>
      </c>
      <c r="B26" s="145" t="s">
        <v>98</v>
      </c>
      <c r="C26" s="78"/>
      <c r="D26" s="32" t="str">
        <f t="shared" si="1"/>
        <v/>
      </c>
      <c r="E26" s="30" t="str">
        <f t="shared" si="2"/>
        <v/>
      </c>
      <c r="F26" s="130" t="str">
        <f t="shared" si="3"/>
        <v/>
      </c>
      <c r="G26" s="15"/>
      <c r="H26" s="15"/>
      <c r="I26" s="19"/>
      <c r="J26" s="144"/>
    </row>
    <row r="27" spans="1:13" ht="41.25" customHeight="1" x14ac:dyDescent="0.15">
      <c r="A27" s="138">
        <v>1203</v>
      </c>
      <c r="B27" s="145" t="s">
        <v>55</v>
      </c>
      <c r="C27" s="78"/>
      <c r="D27" s="32" t="str">
        <f t="shared" si="1"/>
        <v/>
      </c>
      <c r="E27" s="30" t="str">
        <f t="shared" si="2"/>
        <v/>
      </c>
      <c r="F27" s="130" t="str">
        <f t="shared" si="3"/>
        <v/>
      </c>
      <c r="G27" s="15"/>
      <c r="H27" s="15"/>
      <c r="I27" s="19"/>
      <c r="J27" s="144"/>
    </row>
    <row r="28" spans="1:13" ht="41.25" hidden="1" customHeight="1" x14ac:dyDescent="0.15">
      <c r="A28" s="138">
        <v>1221</v>
      </c>
      <c r="B28" s="145" t="s">
        <v>56</v>
      </c>
      <c r="C28" s="78"/>
      <c r="D28" s="32" t="str">
        <f t="shared" si="1"/>
        <v/>
      </c>
      <c r="E28" s="30" t="str">
        <f t="shared" si="2"/>
        <v/>
      </c>
      <c r="F28" s="130" t="str">
        <f t="shared" si="3"/>
        <v/>
      </c>
      <c r="G28" s="15"/>
      <c r="H28" s="15"/>
      <c r="I28" s="19"/>
      <c r="J28" s="144"/>
    </row>
    <row r="29" spans="1:13" ht="41.25" hidden="1" customHeight="1" x14ac:dyDescent="0.15">
      <c r="A29" s="138">
        <v>1222</v>
      </c>
      <c r="B29" s="145" t="s">
        <v>97</v>
      </c>
      <c r="C29" s="78"/>
      <c r="D29" s="32" t="str">
        <f t="shared" si="1"/>
        <v/>
      </c>
      <c r="E29" s="30" t="str">
        <f t="shared" si="2"/>
        <v/>
      </c>
      <c r="F29" s="130" t="str">
        <f t="shared" si="3"/>
        <v/>
      </c>
      <c r="G29" s="15"/>
      <c r="H29" s="15"/>
      <c r="I29" s="19"/>
      <c r="J29" s="144"/>
    </row>
    <row r="30" spans="1:13" ht="41.25" customHeight="1" x14ac:dyDescent="0.15">
      <c r="A30" s="138">
        <v>1260</v>
      </c>
      <c r="B30" s="145" t="s">
        <v>57</v>
      </c>
      <c r="C30" s="86"/>
      <c r="D30" s="32" t="str">
        <f t="shared" si="1"/>
        <v/>
      </c>
      <c r="E30" s="30" t="str">
        <f t="shared" si="2"/>
        <v/>
      </c>
      <c r="F30" s="130" t="str">
        <f t="shared" si="3"/>
        <v/>
      </c>
      <c r="G30" s="15"/>
      <c r="H30" s="15" t="str">
        <f>K30</f>
        <v/>
      </c>
      <c r="I30" s="19"/>
      <c r="J30" s="144"/>
      <c r="K30" s="149" t="str">
        <f>IF(C30="","",INT(C30*0.02))</f>
        <v/>
      </c>
    </row>
    <row r="31" spans="1:13" ht="41.25" hidden="1" customHeight="1" x14ac:dyDescent="0.15">
      <c r="A31" s="138">
        <v>1301</v>
      </c>
      <c r="B31" s="145" t="s">
        <v>58</v>
      </c>
      <c r="C31" s="78"/>
      <c r="D31" s="32" t="str">
        <f t="shared" si="1"/>
        <v/>
      </c>
      <c r="E31" s="30" t="str">
        <f t="shared" si="2"/>
        <v/>
      </c>
      <c r="F31" s="130" t="str">
        <f t="shared" si="3"/>
        <v/>
      </c>
      <c r="G31" s="15"/>
      <c r="H31" s="15"/>
      <c r="I31" s="19"/>
      <c r="J31" s="144"/>
    </row>
    <row r="32" spans="1:13" ht="41.25" customHeight="1" x14ac:dyDescent="0.15">
      <c r="A32" s="138">
        <v>1302</v>
      </c>
      <c r="B32" s="145" t="s">
        <v>11</v>
      </c>
      <c r="C32" s="78">
        <v>67650</v>
      </c>
      <c r="D32" s="32">
        <f t="shared" si="1"/>
        <v>67650</v>
      </c>
      <c r="E32" s="30">
        <f t="shared" si="2"/>
        <v>66880</v>
      </c>
      <c r="F32" s="130">
        <f t="shared" si="3"/>
        <v>770</v>
      </c>
      <c r="G32" s="15"/>
      <c r="H32" s="15"/>
      <c r="I32" s="19"/>
      <c r="J32" s="144"/>
    </row>
    <row r="33" spans="1:12" ht="41.25" customHeight="1" x14ac:dyDescent="0.15">
      <c r="A33" s="138">
        <v>1303</v>
      </c>
      <c r="B33" s="145" t="s">
        <v>83</v>
      </c>
      <c r="C33" s="86">
        <v>74228</v>
      </c>
      <c r="D33" s="32">
        <f t="shared" si="1"/>
        <v>74228</v>
      </c>
      <c r="E33" s="30">
        <f t="shared" si="2"/>
        <v>73458</v>
      </c>
      <c r="F33" s="130">
        <f t="shared" si="3"/>
        <v>770</v>
      </c>
      <c r="G33" s="15"/>
      <c r="H33" s="15"/>
      <c r="I33" s="19"/>
      <c r="J33" s="144"/>
    </row>
    <row r="34" spans="1:12" ht="41.25" hidden="1" customHeight="1" x14ac:dyDescent="0.15">
      <c r="A34" s="138">
        <v>1304</v>
      </c>
      <c r="B34" s="145" t="s">
        <v>59</v>
      </c>
      <c r="C34" s="86"/>
      <c r="D34" s="32" t="str">
        <f t="shared" si="1"/>
        <v/>
      </c>
      <c r="E34" s="30" t="str">
        <f t="shared" si="2"/>
        <v/>
      </c>
      <c r="F34" s="130" t="str">
        <f t="shared" si="3"/>
        <v/>
      </c>
      <c r="G34" s="15"/>
      <c r="H34" s="15"/>
      <c r="I34" s="19"/>
      <c r="J34" s="146"/>
    </row>
    <row r="35" spans="1:12" ht="41.25" hidden="1" customHeight="1" x14ac:dyDescent="0.15">
      <c r="A35" s="138">
        <v>1320</v>
      </c>
      <c r="B35" s="145" t="s">
        <v>108</v>
      </c>
      <c r="C35" s="86"/>
      <c r="D35" s="32" t="str">
        <f t="shared" si="1"/>
        <v/>
      </c>
      <c r="E35" s="30" t="str">
        <f t="shared" si="2"/>
        <v/>
      </c>
      <c r="F35" s="130" t="str">
        <f t="shared" si="3"/>
        <v/>
      </c>
      <c r="G35" s="15"/>
      <c r="H35" s="15"/>
      <c r="I35" s="19"/>
      <c r="J35" s="144"/>
    </row>
    <row r="36" spans="1:12" ht="41.25" customHeight="1" x14ac:dyDescent="0.15">
      <c r="A36" s="138">
        <v>1321</v>
      </c>
      <c r="B36" s="145" t="s">
        <v>107</v>
      </c>
      <c r="C36" s="86"/>
      <c r="D36" s="32" t="str">
        <f t="shared" si="1"/>
        <v/>
      </c>
      <c r="E36" s="30" t="str">
        <f t="shared" si="2"/>
        <v/>
      </c>
      <c r="F36" s="130" t="str">
        <f t="shared" si="3"/>
        <v/>
      </c>
      <c r="G36" s="15"/>
      <c r="H36" s="15"/>
      <c r="I36" s="19"/>
      <c r="J36" s="144"/>
    </row>
    <row r="37" spans="1:12" ht="41.25" customHeight="1" x14ac:dyDescent="0.15">
      <c r="A37" s="138">
        <v>1322</v>
      </c>
      <c r="B37" s="145" t="s">
        <v>106</v>
      </c>
      <c r="C37" s="86"/>
      <c r="D37" s="32" t="str">
        <f t="shared" si="1"/>
        <v/>
      </c>
      <c r="E37" s="30" t="str">
        <f t="shared" si="2"/>
        <v/>
      </c>
      <c r="F37" s="130" t="str">
        <f t="shared" si="3"/>
        <v/>
      </c>
      <c r="G37" s="15"/>
      <c r="H37" s="15"/>
      <c r="I37" s="19"/>
      <c r="J37" s="144"/>
    </row>
    <row r="38" spans="1:12" ht="41.25" hidden="1" customHeight="1" x14ac:dyDescent="0.15">
      <c r="A38" s="138">
        <v>1325</v>
      </c>
      <c r="B38" s="150" t="s">
        <v>60</v>
      </c>
      <c r="C38" s="78"/>
      <c r="D38" s="32" t="str">
        <f t="shared" si="1"/>
        <v/>
      </c>
      <c r="E38" s="30" t="str">
        <f t="shared" si="2"/>
        <v/>
      </c>
      <c r="F38" s="130" t="str">
        <f t="shared" si="3"/>
        <v/>
      </c>
      <c r="G38" s="15"/>
      <c r="H38" s="15"/>
      <c r="I38" s="19"/>
      <c r="J38" s="144"/>
    </row>
    <row r="39" spans="1:12" ht="41.25" customHeight="1" x14ac:dyDescent="0.15">
      <c r="A39" s="138">
        <v>1360</v>
      </c>
      <c r="B39" s="145" t="s">
        <v>137</v>
      </c>
      <c r="C39" s="86">
        <v>425282</v>
      </c>
      <c r="D39" s="32">
        <f t="shared" ref="D39" si="4">IF(C39="","",C39-G39-H39-I39)</f>
        <v>425282</v>
      </c>
      <c r="E39" s="30">
        <f t="shared" ref="E39" si="5">IF(C39="","",D39-F39)</f>
        <v>424512</v>
      </c>
      <c r="F39" s="130">
        <f t="shared" ref="F39" si="6">IF(D39="","",IF(D39=0,"",IF(D39&lt;30000,605,IF(D39&gt;=30000,770))))</f>
        <v>770</v>
      </c>
      <c r="G39" s="15"/>
      <c r="H39" s="15"/>
      <c r="I39" s="19"/>
      <c r="J39" s="144"/>
      <c r="K39" s="149"/>
      <c r="L39" s="9"/>
    </row>
    <row r="40" spans="1:12" ht="41.25" customHeight="1" x14ac:dyDescent="0.15">
      <c r="A40" s="138">
        <v>1380</v>
      </c>
      <c r="B40" s="145" t="s">
        <v>28</v>
      </c>
      <c r="C40" s="86">
        <v>134866</v>
      </c>
      <c r="D40" s="32">
        <f t="shared" si="1"/>
        <v>134866</v>
      </c>
      <c r="E40" s="30">
        <f t="shared" si="2"/>
        <v>134096</v>
      </c>
      <c r="F40" s="130">
        <f t="shared" si="3"/>
        <v>770</v>
      </c>
      <c r="G40" s="15"/>
      <c r="H40" s="15"/>
      <c r="I40" s="19"/>
      <c r="J40" s="144"/>
      <c r="K40" s="149"/>
      <c r="L40" s="9"/>
    </row>
    <row r="41" spans="1:12" ht="41.25" hidden="1" customHeight="1" x14ac:dyDescent="0.15">
      <c r="A41" s="138">
        <v>1381</v>
      </c>
      <c r="B41" s="145" t="s">
        <v>50</v>
      </c>
      <c r="C41" s="78"/>
      <c r="D41" s="32" t="str">
        <f t="shared" si="1"/>
        <v/>
      </c>
      <c r="E41" s="30" t="str">
        <f t="shared" si="2"/>
        <v/>
      </c>
      <c r="F41" s="130" t="str">
        <f t="shared" si="3"/>
        <v/>
      </c>
      <c r="G41" s="15"/>
      <c r="H41" s="15"/>
      <c r="I41" s="19"/>
      <c r="J41" s="144"/>
    </row>
    <row r="42" spans="1:12" ht="41.25" customHeight="1" x14ac:dyDescent="0.15">
      <c r="A42" s="138">
        <v>1382</v>
      </c>
      <c r="B42" s="145" t="s">
        <v>51</v>
      </c>
      <c r="C42" s="87"/>
      <c r="D42" s="32" t="str">
        <f>IF(C42="","",C42-G42-H42-I42)</f>
        <v/>
      </c>
      <c r="E42" s="30" t="str">
        <f>IF(C42="","",D42-F42)</f>
        <v/>
      </c>
      <c r="F42" s="130" t="str">
        <f t="shared" si="3"/>
        <v/>
      </c>
      <c r="G42" s="15"/>
      <c r="H42" s="15"/>
      <c r="I42" s="19"/>
      <c r="J42" s="144"/>
    </row>
    <row r="43" spans="1:12" ht="41.25" hidden="1" customHeight="1" x14ac:dyDescent="0.15">
      <c r="A43" s="138">
        <v>1401</v>
      </c>
      <c r="B43" s="145" t="s">
        <v>94</v>
      </c>
      <c r="C43" s="87"/>
      <c r="D43" s="32" t="str">
        <f>IF(C43="","",C43-G43-H43-I43)</f>
        <v/>
      </c>
      <c r="E43" s="30" t="str">
        <f>IF(C43="","",D43-F43)</f>
        <v/>
      </c>
      <c r="F43" s="130" t="str">
        <f t="shared" si="3"/>
        <v/>
      </c>
      <c r="G43" s="15"/>
      <c r="H43" s="15"/>
      <c r="I43" s="19"/>
      <c r="J43" s="144"/>
    </row>
    <row r="44" spans="1:12" ht="41.25" hidden="1" customHeight="1" x14ac:dyDescent="0.15">
      <c r="A44" s="138">
        <v>1402</v>
      </c>
      <c r="B44" s="145" t="s">
        <v>61</v>
      </c>
      <c r="C44" s="86"/>
      <c r="D44" s="32" t="str">
        <f>IF(C44="","",C44-G44-H44-I44)</f>
        <v/>
      </c>
      <c r="E44" s="30" t="str">
        <f>IF(C44="","",D44-F44)</f>
        <v/>
      </c>
      <c r="F44" s="130" t="str">
        <f t="shared" si="3"/>
        <v/>
      </c>
      <c r="G44" s="15"/>
      <c r="H44" s="15"/>
      <c r="I44" s="19"/>
      <c r="J44" s="144"/>
    </row>
    <row r="45" spans="1:12" ht="41.25" hidden="1" customHeight="1" x14ac:dyDescent="0.15">
      <c r="A45" s="138">
        <v>1420</v>
      </c>
      <c r="B45" s="145" t="s">
        <v>62</v>
      </c>
      <c r="C45" s="78"/>
      <c r="D45" s="32" t="str">
        <f t="shared" si="1"/>
        <v/>
      </c>
      <c r="E45" s="30" t="str">
        <f t="shared" si="2"/>
        <v/>
      </c>
      <c r="F45" s="130" t="str">
        <f t="shared" si="3"/>
        <v/>
      </c>
      <c r="G45" s="15"/>
      <c r="H45" s="15"/>
      <c r="I45" s="19"/>
      <c r="J45" s="144"/>
    </row>
    <row r="46" spans="1:12" ht="41.25" customHeight="1" x14ac:dyDescent="0.15">
      <c r="A46" s="138">
        <v>1503</v>
      </c>
      <c r="B46" s="151" t="s">
        <v>63</v>
      </c>
      <c r="C46" s="78">
        <v>60500</v>
      </c>
      <c r="D46" s="32">
        <f>IF(C46="","",C46-G46-H46-I46)</f>
        <v>60500</v>
      </c>
      <c r="E46" s="34">
        <f>IF(C46="","",D46-F46)</f>
        <v>59730</v>
      </c>
      <c r="F46" s="130">
        <f t="shared" si="3"/>
        <v>770</v>
      </c>
      <c r="G46" s="25"/>
      <c r="H46" s="15"/>
      <c r="I46" s="19"/>
      <c r="J46" s="144"/>
    </row>
    <row r="47" spans="1:12" ht="41.25" hidden="1" customHeight="1" x14ac:dyDescent="0.15">
      <c r="A47" s="138">
        <v>1510</v>
      </c>
      <c r="B47" s="145" t="s">
        <v>65</v>
      </c>
      <c r="C47" s="85"/>
      <c r="D47" s="42" t="str">
        <f t="shared" si="1"/>
        <v/>
      </c>
      <c r="E47" s="31" t="str">
        <f t="shared" si="2"/>
        <v/>
      </c>
      <c r="F47" s="130" t="str">
        <f t="shared" si="3"/>
        <v/>
      </c>
      <c r="G47" s="17"/>
      <c r="H47" s="15"/>
      <c r="I47" s="18"/>
      <c r="J47" s="144"/>
    </row>
    <row r="48" spans="1:12" ht="41.25" hidden="1" customHeight="1" x14ac:dyDescent="0.15">
      <c r="A48" s="138">
        <v>1540</v>
      </c>
      <c r="B48" s="145" t="s">
        <v>64</v>
      </c>
      <c r="C48" s="78"/>
      <c r="D48" s="32" t="str">
        <f t="shared" si="1"/>
        <v/>
      </c>
      <c r="E48" s="30" t="str">
        <f t="shared" si="2"/>
        <v/>
      </c>
      <c r="F48" s="130" t="str">
        <f t="shared" si="3"/>
        <v/>
      </c>
      <c r="G48" s="15"/>
      <c r="H48" s="15"/>
      <c r="I48" s="19"/>
      <c r="J48" s="144"/>
    </row>
    <row r="49" spans="1:16" ht="41.25" hidden="1" customHeight="1" x14ac:dyDescent="0.15">
      <c r="A49" s="138">
        <v>1541</v>
      </c>
      <c r="B49" s="145" t="s">
        <v>66</v>
      </c>
      <c r="C49" s="78"/>
      <c r="D49" s="32" t="str">
        <f t="shared" si="1"/>
        <v/>
      </c>
      <c r="E49" s="30" t="str">
        <f t="shared" si="2"/>
        <v/>
      </c>
      <c r="F49" s="130" t="str">
        <f t="shared" si="3"/>
        <v/>
      </c>
      <c r="G49" s="15"/>
      <c r="H49" s="15"/>
      <c r="I49" s="19"/>
      <c r="J49" s="144"/>
    </row>
    <row r="50" spans="1:16" ht="41.25" hidden="1" customHeight="1" x14ac:dyDescent="0.15">
      <c r="A50" s="138">
        <v>1542</v>
      </c>
      <c r="B50" s="145" t="s">
        <v>67</v>
      </c>
      <c r="C50" s="78"/>
      <c r="D50" s="32" t="str">
        <f t="shared" si="1"/>
        <v/>
      </c>
      <c r="E50" s="30" t="str">
        <f t="shared" si="2"/>
        <v/>
      </c>
      <c r="F50" s="130" t="str">
        <f t="shared" si="3"/>
        <v/>
      </c>
      <c r="G50" s="15"/>
      <c r="H50" s="15"/>
      <c r="I50" s="19"/>
      <c r="J50" s="144"/>
    </row>
    <row r="51" spans="1:16" ht="41.25" hidden="1" customHeight="1" x14ac:dyDescent="0.15">
      <c r="A51" s="138">
        <v>1543</v>
      </c>
      <c r="B51" s="145" t="s">
        <v>68</v>
      </c>
      <c r="C51" s="78"/>
      <c r="D51" s="32" t="str">
        <f t="shared" si="1"/>
        <v/>
      </c>
      <c r="E51" s="30" t="str">
        <f t="shared" si="2"/>
        <v/>
      </c>
      <c r="F51" s="130" t="str">
        <f t="shared" si="3"/>
        <v/>
      </c>
      <c r="G51" s="15"/>
      <c r="H51" s="15"/>
      <c r="I51" s="19"/>
      <c r="J51" s="144"/>
    </row>
    <row r="52" spans="1:16" ht="41.25" hidden="1" customHeight="1" x14ac:dyDescent="0.15">
      <c r="A52" s="138">
        <v>1560</v>
      </c>
      <c r="B52" s="145" t="s">
        <v>69</v>
      </c>
      <c r="C52" s="78"/>
      <c r="D52" s="32" t="str">
        <f>IF(C52="","",C52-G52-H52-I52)</f>
        <v/>
      </c>
      <c r="E52" s="30" t="str">
        <f>IF(C52="","",D52-F52)</f>
        <v/>
      </c>
      <c r="F52" s="130" t="str">
        <f t="shared" si="3"/>
        <v/>
      </c>
      <c r="G52" s="15"/>
      <c r="H52" s="15"/>
      <c r="I52" s="19"/>
      <c r="J52" s="144"/>
    </row>
    <row r="53" spans="1:16" ht="41.25" customHeight="1" x14ac:dyDescent="0.15">
      <c r="A53" s="138">
        <v>1580</v>
      </c>
      <c r="B53" s="145" t="s">
        <v>29</v>
      </c>
      <c r="C53" s="86">
        <v>109560</v>
      </c>
      <c r="D53" s="32">
        <f>IF(C53="","",C53-G53-H53-I53)</f>
        <v>109560</v>
      </c>
      <c r="E53" s="30">
        <f t="shared" si="2"/>
        <v>108790</v>
      </c>
      <c r="F53" s="130">
        <f t="shared" si="3"/>
        <v>770</v>
      </c>
      <c r="G53" s="15"/>
      <c r="H53" s="15"/>
      <c r="I53" s="19"/>
      <c r="J53" s="152"/>
      <c r="K53" s="149">
        <f>IF(C53="","",INT(C53*0.015))</f>
        <v>1643</v>
      </c>
      <c r="L53" s="9" t="s">
        <v>112</v>
      </c>
      <c r="M53" s="9" t="s">
        <v>119</v>
      </c>
    </row>
    <row r="54" spans="1:16" ht="41.25" customHeight="1" x14ac:dyDescent="0.15">
      <c r="A54" s="138">
        <v>1585</v>
      </c>
      <c r="B54" s="145" t="s">
        <v>131</v>
      </c>
      <c r="C54" s="86"/>
      <c r="D54" s="32" t="str">
        <f t="shared" si="1"/>
        <v/>
      </c>
      <c r="E54" s="30" t="str">
        <f t="shared" si="2"/>
        <v/>
      </c>
      <c r="F54" s="130" t="str">
        <f t="shared" si="3"/>
        <v/>
      </c>
      <c r="G54" s="15"/>
      <c r="H54" s="15"/>
      <c r="I54" s="19"/>
      <c r="J54" s="144" t="s">
        <v>133</v>
      </c>
      <c r="L54" s="123" t="s">
        <v>92</v>
      </c>
      <c r="M54" s="123" t="s">
        <v>132</v>
      </c>
    </row>
    <row r="55" spans="1:16" ht="41.25" customHeight="1" x14ac:dyDescent="0.15">
      <c r="A55" s="138">
        <v>1610</v>
      </c>
      <c r="B55" s="150" t="s">
        <v>109</v>
      </c>
      <c r="C55" s="86"/>
      <c r="D55" s="32" t="str">
        <f t="shared" si="1"/>
        <v/>
      </c>
      <c r="E55" s="30" t="str">
        <f t="shared" si="2"/>
        <v/>
      </c>
      <c r="F55" s="130" t="str">
        <f>IF(D55="","",IF(D55=0,"",IF(D55&lt;30000,330,IF(D55&gt;=30000,550))))</f>
        <v/>
      </c>
      <c r="G55" s="15"/>
      <c r="H55" s="15"/>
      <c r="I55" s="19"/>
      <c r="J55" s="152" t="s">
        <v>1</v>
      </c>
    </row>
    <row r="56" spans="1:16" ht="41.25" customHeight="1" x14ac:dyDescent="0.15">
      <c r="A56" s="138">
        <v>1680</v>
      </c>
      <c r="B56" s="145" t="s">
        <v>96</v>
      </c>
      <c r="C56" s="78">
        <v>444602</v>
      </c>
      <c r="D56" s="32">
        <f t="shared" si="1"/>
        <v>444602</v>
      </c>
      <c r="E56" s="30">
        <f t="shared" si="2"/>
        <v>443832</v>
      </c>
      <c r="F56" s="130">
        <f>IF(D56="","",IF(D56=0,"",IF(D56&lt;30000,605,IF(D56&gt;=30000,770))))</f>
        <v>770</v>
      </c>
      <c r="G56" s="15"/>
      <c r="H56" s="15"/>
      <c r="I56" s="19"/>
      <c r="J56" s="144"/>
    </row>
    <row r="57" spans="1:16" ht="41.25" hidden="1" customHeight="1" x14ac:dyDescent="0.15">
      <c r="A57" s="138">
        <v>1702</v>
      </c>
      <c r="B57" s="145" t="s">
        <v>95</v>
      </c>
      <c r="C57" s="86"/>
      <c r="D57" s="32" t="str">
        <f t="shared" si="1"/>
        <v/>
      </c>
      <c r="E57" s="30" t="str">
        <f t="shared" si="2"/>
        <v/>
      </c>
      <c r="F57" s="130" t="str">
        <f>IF(D57="","",IF(D57=0,"",IF(D57&lt;30000,605,IF(D57&gt;=30000,770))))</f>
        <v/>
      </c>
      <c r="G57" s="15"/>
      <c r="H57" s="15"/>
      <c r="I57" s="19"/>
      <c r="J57" s="144"/>
    </row>
    <row r="58" spans="1:16" ht="41.25" hidden="1" customHeight="1" x14ac:dyDescent="0.15">
      <c r="A58" s="138">
        <v>1720</v>
      </c>
      <c r="B58" s="145" t="s">
        <v>70</v>
      </c>
      <c r="C58" s="78"/>
      <c r="D58" s="32" t="str">
        <f t="shared" si="1"/>
        <v/>
      </c>
      <c r="E58" s="30" t="str">
        <f t="shared" si="2"/>
        <v/>
      </c>
      <c r="F58" s="130" t="str">
        <f>IF(D58="","",IF(D58=0,"",IF(D58&lt;30000,605,IF(D58&gt;=30000,770))))</f>
        <v/>
      </c>
      <c r="G58" s="15"/>
      <c r="H58" s="15"/>
      <c r="I58" s="19"/>
      <c r="J58" s="144"/>
    </row>
    <row r="59" spans="1:16" ht="41.25" customHeight="1" thickBot="1" x14ac:dyDescent="0.2">
      <c r="A59" s="153">
        <v>1740</v>
      </c>
      <c r="B59" s="154" t="s">
        <v>71</v>
      </c>
      <c r="C59" s="88"/>
      <c r="D59" s="56" t="str">
        <f t="shared" si="1"/>
        <v/>
      </c>
      <c r="E59" s="57" t="str">
        <f t="shared" si="2"/>
        <v/>
      </c>
      <c r="F59" s="130" t="str">
        <f>IF(D59="","",IF(D59=0,"",IF(D59&lt;30000,605,IF(D59&gt;=30000,770))))</f>
        <v/>
      </c>
      <c r="G59" s="58"/>
      <c r="H59" s="58"/>
      <c r="I59" s="59"/>
      <c r="J59" s="155"/>
      <c r="N59" s="211"/>
      <c r="O59" s="211"/>
      <c r="P59" s="211"/>
    </row>
    <row r="60" spans="1:16" ht="53.25" customHeight="1" thickTop="1" thickBot="1" x14ac:dyDescent="0.2">
      <c r="A60" s="156"/>
      <c r="B60" s="157" t="s">
        <v>76</v>
      </c>
      <c r="C60" s="60">
        <f>SUM(C3:C59)</f>
        <v>12159444</v>
      </c>
      <c r="D60" s="60">
        <f>SUM(D3:D59)</f>
        <v>12098608</v>
      </c>
      <c r="E60" s="60">
        <f>SUM(E3:E59)</f>
        <v>12083483</v>
      </c>
      <c r="F60" s="60">
        <f>SUM(F3:F59)</f>
        <v>15125</v>
      </c>
      <c r="G60" s="61"/>
      <c r="H60" s="63">
        <f>SUM(H3:H59)</f>
        <v>60836</v>
      </c>
      <c r="I60" s="61"/>
      <c r="J60" s="158"/>
      <c r="L60" s="159">
        <f>SUM(E60:H60)</f>
        <v>12159444</v>
      </c>
      <c r="N60" s="160"/>
      <c r="O60" s="161"/>
      <c r="P60" s="161"/>
    </row>
    <row r="61" spans="1:16" ht="41.25" customHeight="1" x14ac:dyDescent="0.15">
      <c r="A61" s="162"/>
      <c r="B61" s="141" t="s">
        <v>120</v>
      </c>
      <c r="C61" s="117">
        <v>153087</v>
      </c>
      <c r="D61" s="42">
        <f t="shared" ref="D61:D64" si="7">IF(C61="","",C61-G61-H61-I61)</f>
        <v>153087</v>
      </c>
      <c r="E61" s="31">
        <f t="shared" ref="E61:E66" si="8">IF(C61="","",D61-F61)</f>
        <v>152317</v>
      </c>
      <c r="F61" s="130">
        <f>IF(D61="","",IF(D61=0,"",IF(D61&lt;30000,605,IF(D61&gt;=30000,770))))</f>
        <v>770</v>
      </c>
      <c r="G61" s="22"/>
      <c r="H61" s="22"/>
      <c r="I61" s="23"/>
      <c r="J61" s="163" t="s">
        <v>121</v>
      </c>
      <c r="K61" s="164"/>
      <c r="L61" s="1"/>
      <c r="M61" s="9"/>
      <c r="N61" s="165"/>
      <c r="O61" s="1"/>
      <c r="P61" s="1"/>
    </row>
    <row r="62" spans="1:16" ht="41.25" hidden="1" customHeight="1" x14ac:dyDescent="0.15">
      <c r="A62" s="138"/>
      <c r="B62" s="141" t="s">
        <v>90</v>
      </c>
      <c r="C62" s="89"/>
      <c r="D62" s="32" t="str">
        <f t="shared" si="7"/>
        <v/>
      </c>
      <c r="E62" s="33" t="str">
        <f t="shared" si="8"/>
        <v/>
      </c>
      <c r="F62" s="130" t="str">
        <f>IF(D62="","",IF(D62=0,"",IF(D62&lt;30000,605,IF(D62&gt;=30000,770))))</f>
        <v/>
      </c>
      <c r="G62" s="15"/>
      <c r="H62" s="15"/>
      <c r="I62" s="24"/>
      <c r="J62" s="166"/>
      <c r="K62" s="164"/>
      <c r="L62" s="164"/>
      <c r="N62" s="165"/>
      <c r="O62" s="1"/>
      <c r="P62" s="1"/>
    </row>
    <row r="63" spans="1:16" ht="41.25" customHeight="1" x14ac:dyDescent="0.15">
      <c r="A63" s="128" t="s">
        <v>36</v>
      </c>
      <c r="B63" s="131" t="s">
        <v>79</v>
      </c>
      <c r="C63" s="86">
        <v>203797</v>
      </c>
      <c r="D63" s="34">
        <f t="shared" si="7"/>
        <v>203797</v>
      </c>
      <c r="E63" s="35">
        <f>IF(C63="","",D63-F63)</f>
        <v>203027</v>
      </c>
      <c r="F63" s="130">
        <f>IF(D63="","",IF(D63=0,"",IF(D63&lt;30000,605,IF(D63&gt;=30000,770))))</f>
        <v>770</v>
      </c>
      <c r="G63" s="25"/>
      <c r="H63" s="15"/>
      <c r="I63" s="24"/>
      <c r="J63" s="163" t="s">
        <v>121</v>
      </c>
      <c r="K63" s="65"/>
      <c r="L63" s="1"/>
      <c r="M63" s="8"/>
      <c r="N63" s="165"/>
      <c r="O63" s="76"/>
      <c r="P63" s="76"/>
    </row>
    <row r="64" spans="1:16" ht="41.25" customHeight="1" x14ac:dyDescent="0.15">
      <c r="A64" s="167"/>
      <c r="B64" s="141" t="s">
        <v>72</v>
      </c>
      <c r="C64" s="118">
        <v>128931</v>
      </c>
      <c r="D64" s="34">
        <f t="shared" si="7"/>
        <v>128931</v>
      </c>
      <c r="E64" s="35">
        <f>IF(C64="","",D64-F64)</f>
        <v>128161</v>
      </c>
      <c r="F64" s="130">
        <f t="shared" ref="F64:F70" si="9">IF(D64="","",IF(D64=0,"",IF(D64&lt;30000,605,IF(D64&gt;=30000,770))))</f>
        <v>770</v>
      </c>
      <c r="G64" s="25"/>
      <c r="H64" s="15"/>
      <c r="I64" s="19"/>
      <c r="J64" s="163" t="s">
        <v>121</v>
      </c>
      <c r="K64" s="8"/>
      <c r="L64" s="8"/>
      <c r="M64" s="8"/>
      <c r="N64" s="165"/>
      <c r="O64" s="76"/>
      <c r="P64" s="76"/>
    </row>
    <row r="65" spans="1:16" ht="41.25" customHeight="1" x14ac:dyDescent="0.15">
      <c r="A65" s="133"/>
      <c r="B65" s="141" t="s">
        <v>74</v>
      </c>
      <c r="C65" s="86">
        <v>70400</v>
      </c>
      <c r="D65" s="34">
        <f>IF(C65="","",C65-G65-H65-I65)</f>
        <v>70400</v>
      </c>
      <c r="E65" s="30">
        <f t="shared" si="8"/>
        <v>69630</v>
      </c>
      <c r="F65" s="130">
        <f t="shared" si="9"/>
        <v>770</v>
      </c>
      <c r="G65" s="15"/>
      <c r="H65" s="15"/>
      <c r="I65" s="19"/>
      <c r="J65" s="168" t="s">
        <v>122</v>
      </c>
      <c r="N65" s="165"/>
      <c r="O65" s="1"/>
      <c r="P65" s="1"/>
    </row>
    <row r="66" spans="1:16" ht="41.25" customHeight="1" x14ac:dyDescent="0.15">
      <c r="A66" s="133"/>
      <c r="B66" s="141" t="s">
        <v>93</v>
      </c>
      <c r="C66" s="86">
        <v>18062</v>
      </c>
      <c r="D66" s="34">
        <f>IF(C66="","",C66-G66-H66-I66)</f>
        <v>18062</v>
      </c>
      <c r="E66" s="30">
        <f t="shared" si="8"/>
        <v>17457</v>
      </c>
      <c r="F66" s="130">
        <f t="shared" si="9"/>
        <v>605</v>
      </c>
      <c r="G66" s="15"/>
      <c r="H66" s="15"/>
      <c r="I66" s="19"/>
      <c r="J66" s="168" t="s">
        <v>123</v>
      </c>
      <c r="N66" s="165"/>
      <c r="O66" s="1"/>
      <c r="P66" s="1"/>
    </row>
    <row r="67" spans="1:16" ht="41.25" customHeight="1" x14ac:dyDescent="0.15">
      <c r="A67" s="128"/>
      <c r="B67" s="131" t="s">
        <v>75</v>
      </c>
      <c r="C67" s="86">
        <v>540011</v>
      </c>
      <c r="D67" s="34">
        <f t="shared" ref="D67:D70" si="10">IF(C67="","",C67-G67-H67-I67)</f>
        <v>540011</v>
      </c>
      <c r="E67" s="35">
        <f t="shared" ref="E67:E71" si="11">IF(C67="","",D67-F67)</f>
        <v>539241</v>
      </c>
      <c r="F67" s="130">
        <f t="shared" si="9"/>
        <v>770</v>
      </c>
      <c r="G67" s="25"/>
      <c r="H67" s="15"/>
      <c r="I67" s="19"/>
      <c r="J67" s="79" t="s">
        <v>152</v>
      </c>
      <c r="L67" s="80"/>
      <c r="N67" s="165"/>
      <c r="O67" s="1"/>
      <c r="P67" s="1"/>
    </row>
    <row r="68" spans="1:16" ht="41.25" customHeight="1" x14ac:dyDescent="0.15">
      <c r="A68" s="128"/>
      <c r="B68" s="131" t="s">
        <v>73</v>
      </c>
      <c r="C68" s="86">
        <v>84810</v>
      </c>
      <c r="D68" s="34">
        <f>IF(C68="","",C68-G68-H68-I68)</f>
        <v>84810</v>
      </c>
      <c r="E68" s="35">
        <f t="shared" si="11"/>
        <v>84040</v>
      </c>
      <c r="F68" s="130">
        <f t="shared" si="9"/>
        <v>770</v>
      </c>
      <c r="G68" s="25"/>
      <c r="H68" s="15"/>
      <c r="I68" s="19"/>
      <c r="J68" s="168" t="s">
        <v>122</v>
      </c>
      <c r="L68" s="80"/>
      <c r="N68" s="165"/>
      <c r="O68" s="1"/>
      <c r="P68" s="1"/>
    </row>
    <row r="69" spans="1:16" ht="41.25" customHeight="1" x14ac:dyDescent="0.15">
      <c r="A69" s="169"/>
      <c r="B69" s="141" t="s">
        <v>110</v>
      </c>
      <c r="C69" s="86"/>
      <c r="D69" s="34" t="str">
        <f>IF(C69="","",C69-G69-H69-I69)</f>
        <v/>
      </c>
      <c r="E69" s="35" t="str">
        <f t="shared" si="11"/>
        <v/>
      </c>
      <c r="F69" s="130" t="str">
        <f t="shared" si="9"/>
        <v/>
      </c>
      <c r="G69" s="25"/>
      <c r="H69" s="15"/>
      <c r="I69" s="19"/>
      <c r="J69" s="168" t="s">
        <v>122</v>
      </c>
      <c r="N69" s="165"/>
      <c r="O69" s="1"/>
      <c r="P69" s="1"/>
    </row>
    <row r="70" spans="1:16" ht="41.25" customHeight="1" thickBot="1" x14ac:dyDescent="0.2">
      <c r="A70" s="169"/>
      <c r="B70" s="141" t="s">
        <v>111</v>
      </c>
      <c r="C70" s="86"/>
      <c r="D70" s="34" t="str">
        <f t="shared" si="10"/>
        <v/>
      </c>
      <c r="E70" s="35" t="str">
        <f t="shared" si="11"/>
        <v/>
      </c>
      <c r="F70" s="130" t="str">
        <f t="shared" si="9"/>
        <v/>
      </c>
      <c r="G70" s="25"/>
      <c r="H70" s="15"/>
      <c r="I70" s="19"/>
      <c r="J70" s="170"/>
      <c r="N70" s="165"/>
      <c r="O70" s="1"/>
      <c r="P70" s="1"/>
    </row>
    <row r="71" spans="1:16" ht="31.5" hidden="1" customHeight="1" thickBot="1" x14ac:dyDescent="0.2">
      <c r="A71" s="171">
        <v>5</v>
      </c>
      <c r="B71" s="172" t="s">
        <v>40</v>
      </c>
      <c r="C71" s="78"/>
      <c r="D71" s="37" t="str">
        <f>IF(C71="","",C71-G71-H71-I71)</f>
        <v/>
      </c>
      <c r="E71" s="36" t="str">
        <f t="shared" si="11"/>
        <v/>
      </c>
      <c r="F71" s="173"/>
      <c r="G71" s="16"/>
      <c r="H71" s="15"/>
      <c r="I71" s="19"/>
      <c r="J71" s="174"/>
      <c r="O71" s="1"/>
      <c r="P71" s="1"/>
    </row>
    <row r="72" spans="1:16" ht="45.75" customHeight="1" thickTop="1" thickBot="1" x14ac:dyDescent="0.2">
      <c r="A72" s="175"/>
      <c r="B72" s="176" t="s">
        <v>12</v>
      </c>
      <c r="C72" s="38">
        <f>SUM(C61:C71)</f>
        <v>1199098</v>
      </c>
      <c r="D72" s="38">
        <f>SUM(D61:D71)</f>
        <v>1199098</v>
      </c>
      <c r="E72" s="38">
        <f>SUM(E61:E71)</f>
        <v>1193873</v>
      </c>
      <c r="F72" s="26">
        <f>SUM(F61:F71)</f>
        <v>5225</v>
      </c>
      <c r="G72" s="28">
        <f>SUM(G61:G70)</f>
        <v>0</v>
      </c>
      <c r="H72" s="29">
        <f>SUM(H65:H71)</f>
        <v>0</v>
      </c>
      <c r="I72" s="53">
        <f>SUM(I61:I70)</f>
        <v>0</v>
      </c>
      <c r="J72" s="177"/>
      <c r="L72" s="159">
        <f>SUM(E72:F72)</f>
        <v>1199098</v>
      </c>
      <c r="O72" s="1"/>
      <c r="P72" s="1"/>
    </row>
    <row r="73" spans="1:16" ht="54.75" customHeight="1" thickTop="1" thickBot="1" x14ac:dyDescent="0.2">
      <c r="A73" s="207" t="s">
        <v>13</v>
      </c>
      <c r="B73" s="208"/>
      <c r="C73" s="38">
        <f t="shared" ref="C73:I73" si="12">C60+C72</f>
        <v>13358542</v>
      </c>
      <c r="D73" s="38">
        <f t="shared" si="12"/>
        <v>13297706</v>
      </c>
      <c r="E73" s="38">
        <f t="shared" si="12"/>
        <v>13277356</v>
      </c>
      <c r="F73" s="38">
        <f t="shared" si="12"/>
        <v>20350</v>
      </c>
      <c r="G73" s="38">
        <f t="shared" si="12"/>
        <v>0</v>
      </c>
      <c r="H73" s="38">
        <f t="shared" si="12"/>
        <v>60836</v>
      </c>
      <c r="I73" s="90">
        <f t="shared" si="12"/>
        <v>0</v>
      </c>
      <c r="J73" s="177"/>
    </row>
    <row r="74" spans="1:16" ht="21.75" thickTop="1" x14ac:dyDescent="0.15"/>
    <row r="75" spans="1:16" x14ac:dyDescent="0.15">
      <c r="E75" s="159"/>
      <c r="J75" s="179"/>
    </row>
    <row r="76" spans="1:16" x14ac:dyDescent="0.15">
      <c r="E76" s="135"/>
    </row>
    <row r="77" spans="1:16" x14ac:dyDescent="0.15">
      <c r="B77" s="7" t="s">
        <v>124</v>
      </c>
      <c r="C77" s="180">
        <f>E1</f>
        <v>46042</v>
      </c>
    </row>
    <row r="78" spans="1:16" x14ac:dyDescent="0.15">
      <c r="C78" s="1" t="s">
        <v>126</v>
      </c>
      <c r="D78" s="1" t="s">
        <v>127</v>
      </c>
      <c r="E78" s="1" t="s">
        <v>128</v>
      </c>
    </row>
    <row r="79" spans="1:16" ht="41.25" customHeight="1" x14ac:dyDescent="0.15">
      <c r="A79" s="128"/>
      <c r="B79" s="131" t="s">
        <v>136</v>
      </c>
      <c r="C79" s="81">
        <v>11715</v>
      </c>
      <c r="D79" s="81">
        <f t="shared" ref="D79" si="13">IF(C79="","",C79-G79-H79-I79)</f>
        <v>11715</v>
      </c>
      <c r="E79" s="82">
        <f t="shared" ref="E79:E86" si="14">IF(C79="","",D79-F79)</f>
        <v>11715</v>
      </c>
      <c r="F79" s="181">
        <v>0</v>
      </c>
      <c r="G79" s="83"/>
      <c r="H79" s="83"/>
      <c r="I79" s="83"/>
      <c r="J79" s="182" t="s">
        <v>122</v>
      </c>
      <c r="K79" s="8"/>
      <c r="L79" s="8" t="s">
        <v>31</v>
      </c>
      <c r="M79" s="8"/>
      <c r="N79" s="165"/>
      <c r="O79" s="76"/>
      <c r="P79" s="76"/>
    </row>
    <row r="80" spans="1:16" ht="41.25" customHeight="1" x14ac:dyDescent="0.15">
      <c r="A80" s="128"/>
      <c r="B80" s="131" t="s">
        <v>115</v>
      </c>
      <c r="C80" s="81">
        <v>118426</v>
      </c>
      <c r="D80" s="81">
        <f>IF(C80="","",C80-G80-H80-I80)</f>
        <v>118426</v>
      </c>
      <c r="E80" s="82">
        <f t="shared" si="14"/>
        <v>118426</v>
      </c>
      <c r="F80" s="181">
        <v>0</v>
      </c>
      <c r="G80" s="83"/>
      <c r="H80" s="83"/>
      <c r="I80" s="83"/>
      <c r="J80" s="182" t="s">
        <v>122</v>
      </c>
      <c r="L80" s="145" t="s">
        <v>138</v>
      </c>
      <c r="N80" s="165"/>
      <c r="O80" s="1"/>
      <c r="P80" s="1"/>
    </row>
    <row r="81" spans="1:16" ht="41.25" customHeight="1" x14ac:dyDescent="0.15">
      <c r="A81" s="128"/>
      <c r="B81" s="139" t="s">
        <v>34</v>
      </c>
      <c r="C81" s="81"/>
      <c r="D81" s="81" t="str">
        <f>IF(C81="","",C81-G81-H81-I81)</f>
        <v/>
      </c>
      <c r="E81" s="82" t="str">
        <f t="shared" si="14"/>
        <v/>
      </c>
      <c r="F81" s="181">
        <v>0</v>
      </c>
      <c r="G81" s="83"/>
      <c r="H81" s="83"/>
      <c r="I81" s="83"/>
      <c r="J81" s="182" t="s">
        <v>154</v>
      </c>
      <c r="L81" s="131" t="s">
        <v>150</v>
      </c>
      <c r="N81" s="165"/>
      <c r="O81" s="1"/>
      <c r="P81" s="1"/>
    </row>
    <row r="82" spans="1:16" ht="41.25" customHeight="1" x14ac:dyDescent="0.15">
      <c r="A82" s="128"/>
      <c r="B82" s="145" t="s">
        <v>94</v>
      </c>
      <c r="C82" s="183">
        <v>17820</v>
      </c>
      <c r="D82" s="81">
        <f>IF(C82="","",C82-G82-H82-I82)</f>
        <v>17820</v>
      </c>
      <c r="E82" s="82">
        <f t="shared" si="14"/>
        <v>17820</v>
      </c>
      <c r="F82" s="184">
        <v>0</v>
      </c>
      <c r="G82" s="185"/>
      <c r="H82" s="185"/>
      <c r="I82" s="185"/>
      <c r="J82" s="182" t="s">
        <v>122</v>
      </c>
    </row>
    <row r="83" spans="1:16" ht="41.25" customHeight="1" x14ac:dyDescent="0.15">
      <c r="A83" s="185"/>
      <c r="B83" s="145" t="s">
        <v>58</v>
      </c>
      <c r="C83" s="183">
        <v>13915</v>
      </c>
      <c r="D83" s="81">
        <f t="shared" ref="D83:D86" si="15">IF(C83="","",C83-G83-H83-I83)</f>
        <v>13915</v>
      </c>
      <c r="E83" s="82">
        <f t="shared" si="14"/>
        <v>13915</v>
      </c>
      <c r="F83" s="184">
        <v>0</v>
      </c>
      <c r="G83" s="185"/>
      <c r="H83" s="185"/>
      <c r="I83" s="185"/>
      <c r="J83" s="182" t="s">
        <v>122</v>
      </c>
    </row>
    <row r="84" spans="1:16" ht="41.25" customHeight="1" x14ac:dyDescent="0.15">
      <c r="A84" s="185"/>
      <c r="B84" s="145" t="s">
        <v>70</v>
      </c>
      <c r="C84" s="183"/>
      <c r="D84" s="81" t="str">
        <f t="shared" ref="D84:D85" si="16">IF(C84="","",C84-G84-H84-I84)</f>
        <v/>
      </c>
      <c r="E84" s="82" t="str">
        <f t="shared" ref="E84:E85" si="17">IF(C84="","",D84-F84)</f>
        <v/>
      </c>
      <c r="F84" s="184">
        <v>0</v>
      </c>
      <c r="G84" s="185"/>
      <c r="H84" s="185"/>
      <c r="I84" s="185"/>
      <c r="J84" s="182" t="s">
        <v>122</v>
      </c>
    </row>
    <row r="85" spans="1:16" ht="41.25" customHeight="1" x14ac:dyDescent="0.15">
      <c r="A85" s="186"/>
      <c r="B85" s="150" t="s">
        <v>149</v>
      </c>
      <c r="C85" s="187"/>
      <c r="D85" s="81" t="str">
        <f t="shared" si="16"/>
        <v/>
      </c>
      <c r="E85" s="82" t="str">
        <f t="shared" si="17"/>
        <v/>
      </c>
      <c r="F85" s="188">
        <v>0</v>
      </c>
      <c r="G85" s="186"/>
      <c r="H85" s="186"/>
      <c r="I85" s="186"/>
      <c r="J85" s="182" t="s">
        <v>122</v>
      </c>
      <c r="L85" s="9" t="s">
        <v>151</v>
      </c>
    </row>
    <row r="86" spans="1:16" ht="41.25" customHeight="1" thickBot="1" x14ac:dyDescent="0.2">
      <c r="A86" s="189"/>
      <c r="B86" s="190" t="s">
        <v>135</v>
      </c>
      <c r="C86" s="191"/>
      <c r="D86" s="91" t="str">
        <f t="shared" si="15"/>
        <v/>
      </c>
      <c r="E86" s="92" t="str">
        <f t="shared" si="14"/>
        <v/>
      </c>
      <c r="F86" s="192">
        <v>0</v>
      </c>
      <c r="G86" s="189"/>
      <c r="H86" s="189"/>
      <c r="I86" s="189"/>
      <c r="J86" s="192" t="s">
        <v>122</v>
      </c>
    </row>
    <row r="87" spans="1:16" ht="41.25" customHeight="1" thickTop="1" x14ac:dyDescent="0.15">
      <c r="A87" s="193"/>
      <c r="B87" s="194" t="s">
        <v>125</v>
      </c>
      <c r="C87" s="195">
        <f>SUM(C79:C86)</f>
        <v>161876</v>
      </c>
      <c r="D87" s="195">
        <f t="shared" ref="D87:E87" si="18">SUM(D79:D86)</f>
        <v>161876</v>
      </c>
      <c r="E87" s="195">
        <f t="shared" si="18"/>
        <v>161876</v>
      </c>
      <c r="F87" s="193"/>
      <c r="G87" s="193"/>
      <c r="H87" s="193"/>
      <c r="I87" s="193"/>
      <c r="J87" s="196"/>
    </row>
    <row r="88" spans="1:16" ht="41.25" customHeight="1" x14ac:dyDescent="0.15"/>
    <row r="596" spans="3:3" x14ac:dyDescent="0.15">
      <c r="C596" s="123">
        <v>1</v>
      </c>
    </row>
  </sheetData>
  <mergeCells count="3">
    <mergeCell ref="A73:B73"/>
    <mergeCell ref="E1:F1"/>
    <mergeCell ref="N59:P59"/>
  </mergeCells>
  <phoneticPr fontId="4"/>
  <printOptions horizontalCentered="1"/>
  <pageMargins left="0.39370078740157483" right="0.39370078740157483" top="0.78740157480314965" bottom="0" header="0.51181102362204722" footer="0.39370078740157483"/>
  <pageSetup paperSize="9" scale="46" orientation="portrait" r:id="rId1"/>
  <headerFooter alignWithMargins="0"/>
  <rowBreaks count="1" manualBreakCount="1">
    <brk id="60" max="9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92B9-5B6F-4B8D-9366-DE9C2CB55A2E}">
  <dimension ref="B2:J26"/>
  <sheetViews>
    <sheetView zoomScaleNormal="100" workbookViewId="0">
      <selection activeCell="H2" sqref="H2"/>
    </sheetView>
  </sheetViews>
  <sheetFormatPr defaultRowHeight="13.5" x14ac:dyDescent="0.15"/>
  <cols>
    <col min="1" max="1" width="2.625" style="11" customWidth="1"/>
    <col min="2" max="2" width="4.75" style="11" customWidth="1"/>
    <col min="3" max="3" width="7.25" style="11" customWidth="1"/>
    <col min="4" max="4" width="14.25" style="11" customWidth="1"/>
    <col min="5" max="5" width="14.125" style="11" customWidth="1"/>
    <col min="6" max="6" width="12.5" style="11" customWidth="1"/>
    <col min="7" max="7" width="19.125" style="11" customWidth="1"/>
    <col min="8" max="8" width="16.625" style="11" customWidth="1"/>
    <col min="9" max="9" width="18.875" style="11" customWidth="1"/>
    <col min="10" max="16384" width="9" style="11"/>
  </cols>
  <sheetData>
    <row r="2" spans="2:10" ht="24.75" customHeight="1" x14ac:dyDescent="0.15">
      <c r="H2" s="93">
        <v>46035</v>
      </c>
    </row>
    <row r="3" spans="2:10" ht="27" customHeight="1" x14ac:dyDescent="0.2">
      <c r="B3" s="48" t="s">
        <v>139</v>
      </c>
      <c r="C3" s="10"/>
      <c r="D3" s="10"/>
      <c r="E3" s="10"/>
      <c r="F3" s="10"/>
      <c r="H3" s="12"/>
      <c r="I3" s="12"/>
      <c r="J3" s="12"/>
    </row>
    <row r="4" spans="2:10" ht="24" customHeight="1" x14ac:dyDescent="0.2">
      <c r="B4" s="10"/>
      <c r="C4" s="10"/>
      <c r="D4" s="66" t="s">
        <v>84</v>
      </c>
      <c r="E4" s="13"/>
      <c r="F4" s="10"/>
      <c r="G4" s="10"/>
      <c r="H4" s="10"/>
      <c r="I4" s="10"/>
    </row>
    <row r="5" spans="2:10" ht="17.25" x14ac:dyDescent="0.2">
      <c r="B5" s="10"/>
      <c r="C5" s="10"/>
      <c r="D5" s="66" t="s">
        <v>140</v>
      </c>
      <c r="E5" s="10"/>
      <c r="G5" s="212" t="s">
        <v>37</v>
      </c>
      <c r="H5" s="212"/>
      <c r="I5" s="10"/>
    </row>
    <row r="6" spans="2:10" ht="17.25" x14ac:dyDescent="0.2">
      <c r="B6" s="10"/>
      <c r="D6" s="10"/>
      <c r="E6" s="10"/>
      <c r="G6" s="213" t="s">
        <v>38</v>
      </c>
      <c r="H6" s="213"/>
      <c r="I6" s="10"/>
    </row>
    <row r="7" spans="2:10" ht="17.25" x14ac:dyDescent="0.2">
      <c r="B7" s="10"/>
      <c r="D7" s="10"/>
      <c r="E7" s="10"/>
      <c r="G7" s="214" t="s">
        <v>48</v>
      </c>
      <c r="H7" s="214"/>
      <c r="I7" s="10"/>
    </row>
    <row r="8" spans="2:10" ht="17.25" x14ac:dyDescent="0.2">
      <c r="B8" s="10"/>
      <c r="C8" s="10"/>
      <c r="D8" s="10"/>
      <c r="E8" s="10"/>
      <c r="G8" s="214" t="s">
        <v>49</v>
      </c>
      <c r="H8" s="214"/>
      <c r="I8" s="10"/>
    </row>
    <row r="9" spans="2:10" ht="17.25" x14ac:dyDescent="0.2">
      <c r="B9" s="10"/>
      <c r="C9" s="10"/>
      <c r="D9" s="10"/>
      <c r="E9" s="10"/>
      <c r="F9" s="10"/>
      <c r="G9" s="10"/>
      <c r="H9" s="10"/>
      <c r="I9" s="10"/>
    </row>
    <row r="10" spans="2:10" s="49" customFormat="1" ht="20.25" customHeight="1" x14ac:dyDescent="0.15">
      <c r="C10" s="49" t="s">
        <v>141</v>
      </c>
    </row>
    <row r="11" spans="2:10" s="49" customFormat="1" ht="20.25" customHeight="1" x14ac:dyDescent="0.15">
      <c r="C11" s="49" t="s">
        <v>142</v>
      </c>
    </row>
    <row r="12" spans="2:10" s="49" customFormat="1" ht="20.25" customHeight="1" x14ac:dyDescent="0.15">
      <c r="C12" s="49" t="s">
        <v>146</v>
      </c>
    </row>
    <row r="13" spans="2:10" s="49" customFormat="1" ht="20.25" customHeight="1" x14ac:dyDescent="0.15"/>
    <row r="14" spans="2:10" s="49" customFormat="1" ht="20.25" customHeight="1" x14ac:dyDescent="0.15"/>
    <row r="15" spans="2:10" s="49" customFormat="1" ht="20.25" customHeight="1" x14ac:dyDescent="0.2">
      <c r="D15" s="215" t="s">
        <v>155</v>
      </c>
      <c r="E15" s="215"/>
      <c r="F15" s="215"/>
    </row>
    <row r="16" spans="2:10" ht="20.25" customHeight="1" x14ac:dyDescent="0.2">
      <c r="B16" s="10"/>
      <c r="C16" s="10"/>
      <c r="D16" s="10"/>
      <c r="E16" s="10"/>
    </row>
    <row r="17" spans="2:9" ht="17.25" x14ac:dyDescent="0.2">
      <c r="C17" s="10"/>
      <c r="D17" s="10"/>
      <c r="E17" s="10"/>
      <c r="F17" s="47" t="s">
        <v>47</v>
      </c>
      <c r="G17" s="52">
        <f>支払い明細!E1</f>
        <v>46042</v>
      </c>
    </row>
    <row r="18" spans="2:9" ht="6.75" customHeight="1" thickBot="1" x14ac:dyDescent="0.25">
      <c r="B18" s="10"/>
      <c r="C18" s="10"/>
      <c r="D18" s="10"/>
      <c r="E18" s="10"/>
      <c r="F18" s="10"/>
      <c r="G18" s="10"/>
      <c r="H18" s="10"/>
      <c r="I18" s="10"/>
    </row>
    <row r="19" spans="2:9" s="14" customFormat="1" ht="30" customHeight="1" thickBot="1" x14ac:dyDescent="0.2">
      <c r="B19" s="13"/>
      <c r="C19" s="94"/>
      <c r="D19" s="95" t="s">
        <v>86</v>
      </c>
      <c r="E19" s="96" t="s">
        <v>143</v>
      </c>
      <c r="F19" s="96" t="s">
        <v>8</v>
      </c>
      <c r="G19" s="97" t="s">
        <v>87</v>
      </c>
      <c r="I19" s="13"/>
    </row>
    <row r="20" spans="2:9" s="14" customFormat="1" ht="30" customHeight="1" x14ac:dyDescent="0.15">
      <c r="B20" s="13"/>
      <c r="C20" s="98"/>
      <c r="D20" s="99">
        <f>支払い明細!C16</f>
        <v>796810</v>
      </c>
      <c r="E20" s="41">
        <f>支払い明細!F16</f>
        <v>330</v>
      </c>
      <c r="F20" s="41">
        <f>支払い明細!L16</f>
        <v>2390</v>
      </c>
      <c r="G20" s="100">
        <f>D20-E20-F20</f>
        <v>794090</v>
      </c>
      <c r="I20" s="13"/>
    </row>
    <row r="21" spans="2:9" s="14" customFormat="1" ht="30" customHeight="1" x14ac:dyDescent="0.15">
      <c r="B21" s="13"/>
      <c r="C21" s="98"/>
      <c r="D21" s="101">
        <f>[1]支払い明細!C5</f>
        <v>0</v>
      </c>
      <c r="E21" s="27"/>
      <c r="F21" s="50">
        <f>[1]支払い明細!L5</f>
        <v>0</v>
      </c>
      <c r="G21" s="100">
        <f>D21-E21-F21</f>
        <v>0</v>
      </c>
      <c r="I21" s="13"/>
    </row>
    <row r="22" spans="2:9" s="14" customFormat="1" ht="30" customHeight="1" thickBot="1" x14ac:dyDescent="0.2">
      <c r="B22" s="13"/>
      <c r="C22" s="98"/>
      <c r="D22" s="102">
        <f>[1]支払い明細!C6</f>
        <v>0</v>
      </c>
      <c r="E22" s="51"/>
      <c r="F22" s="67">
        <f>[1]支払い明細!L6</f>
        <v>0</v>
      </c>
      <c r="G22" s="103">
        <f>D22-E22-F22</f>
        <v>0</v>
      </c>
      <c r="I22" s="13"/>
    </row>
    <row r="23" spans="2:9" s="14" customFormat="1" ht="30" customHeight="1" thickTop="1" thickBot="1" x14ac:dyDescent="0.2">
      <c r="B23" s="13"/>
      <c r="C23" s="13"/>
      <c r="D23" s="104">
        <f>SUM(D20:D22)</f>
        <v>796810</v>
      </c>
      <c r="E23" s="105">
        <f>E20</f>
        <v>330</v>
      </c>
      <c r="F23" s="105">
        <f>SUM(F20:F22)</f>
        <v>2390</v>
      </c>
      <c r="G23" s="106">
        <f>INT(SUM(G20:G22))</f>
        <v>794090</v>
      </c>
      <c r="I23" s="107">
        <f>支払い明細!E16</f>
        <v>794090</v>
      </c>
    </row>
    <row r="24" spans="2:9" ht="19.5" customHeight="1" x14ac:dyDescent="0.15">
      <c r="I24" s="74"/>
    </row>
    <row r="25" spans="2:9" s="49" customFormat="1" ht="14.25" x14ac:dyDescent="0.15">
      <c r="F25" s="108" t="s">
        <v>147</v>
      </c>
      <c r="G25" s="109" t="s">
        <v>148</v>
      </c>
      <c r="I25" s="64"/>
    </row>
    <row r="26" spans="2:9" s="49" customFormat="1" ht="14.25" x14ac:dyDescent="0.15"/>
  </sheetData>
  <mergeCells count="5">
    <mergeCell ref="G5:H5"/>
    <mergeCell ref="G6:H6"/>
    <mergeCell ref="G7:H7"/>
    <mergeCell ref="G8:H8"/>
    <mergeCell ref="D15:F15"/>
  </mergeCells>
  <phoneticPr fontId="4"/>
  <pageMargins left="0.7" right="0.7" top="0.75" bottom="0.75" header="0.3" footer="0.3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"/>
  <sheetViews>
    <sheetView topLeftCell="A7" workbookViewId="0">
      <selection activeCell="D19" sqref="D19"/>
    </sheetView>
  </sheetViews>
  <sheetFormatPr defaultRowHeight="13.5" x14ac:dyDescent="0.15"/>
  <cols>
    <col min="1" max="1" width="11" customWidth="1"/>
    <col min="2" max="2" width="14.625" customWidth="1"/>
    <col min="3" max="4" width="12.625" customWidth="1"/>
    <col min="5" max="5" width="10.625" customWidth="1"/>
    <col min="6" max="6" width="12.625" customWidth="1"/>
    <col min="7" max="7" width="13.625" customWidth="1"/>
    <col min="8" max="8" width="13.25" customWidth="1"/>
    <col min="9" max="10" width="13.75" customWidth="1"/>
  </cols>
  <sheetData>
    <row r="1" spans="1:11" ht="16.5" customHeight="1" x14ac:dyDescent="0.15"/>
    <row r="2" spans="1:11" ht="18.75" customHeight="1" x14ac:dyDescent="0.15">
      <c r="F2" s="216">
        <f>支払い明細!E1</f>
        <v>46042</v>
      </c>
      <c r="G2" s="216"/>
    </row>
    <row r="3" spans="1:11" ht="18.75" customHeight="1" x14ac:dyDescent="0.15"/>
    <row r="4" spans="1:11" ht="24" customHeight="1" x14ac:dyDescent="0.15">
      <c r="A4" s="7" t="s">
        <v>44</v>
      </c>
      <c r="B4" s="1"/>
      <c r="C4" s="1"/>
      <c r="D4" s="1"/>
      <c r="E4" s="1"/>
      <c r="F4" s="1"/>
      <c r="K4" s="1" t="s">
        <v>15</v>
      </c>
    </row>
    <row r="5" spans="1:11" ht="24" customHeight="1" x14ac:dyDescent="0.2">
      <c r="A5" s="1"/>
      <c r="B5" s="1"/>
      <c r="C5" s="9" t="s">
        <v>30</v>
      </c>
      <c r="D5" s="1"/>
      <c r="E5" s="218" t="s">
        <v>37</v>
      </c>
      <c r="F5" s="218"/>
      <c r="K5" s="1" t="s">
        <v>16</v>
      </c>
    </row>
    <row r="6" spans="1:11" ht="24" customHeight="1" x14ac:dyDescent="0.15">
      <c r="A6" s="1"/>
      <c r="B6" s="1"/>
      <c r="C6" s="1"/>
      <c r="D6" s="1"/>
      <c r="E6" s="213" t="s">
        <v>38</v>
      </c>
      <c r="F6" s="213"/>
      <c r="G6" s="213"/>
    </row>
    <row r="7" spans="1:11" ht="24" customHeight="1" x14ac:dyDescent="0.15">
      <c r="A7" s="1"/>
      <c r="B7" s="1"/>
      <c r="C7" s="1"/>
      <c r="D7" s="1"/>
      <c r="E7" s="11"/>
      <c r="F7" s="213" t="s">
        <v>48</v>
      </c>
      <c r="G7" s="213"/>
    </row>
    <row r="8" spans="1:11" ht="24" customHeight="1" x14ac:dyDescent="0.15">
      <c r="A8" s="1"/>
      <c r="C8" s="1"/>
      <c r="D8" s="1"/>
      <c r="E8" s="11"/>
      <c r="F8" s="213" t="s">
        <v>49</v>
      </c>
      <c r="G8" s="213"/>
    </row>
    <row r="9" spans="1:11" ht="24" customHeight="1" x14ac:dyDescent="0.15">
      <c r="A9" s="1"/>
      <c r="C9" s="1"/>
      <c r="D9" s="1"/>
      <c r="E9" s="1"/>
      <c r="F9" s="1"/>
    </row>
    <row r="10" spans="1:11" ht="24" customHeight="1" x14ac:dyDescent="0.15">
      <c r="A10" s="1"/>
      <c r="B10" s="1" t="s">
        <v>80</v>
      </c>
      <c r="C10" s="1"/>
      <c r="D10" s="1"/>
      <c r="E10" s="1"/>
      <c r="F10" s="1"/>
    </row>
    <row r="11" spans="1:11" ht="24" customHeight="1" x14ac:dyDescent="0.15">
      <c r="A11" s="1"/>
      <c r="B11" s="1" t="s">
        <v>81</v>
      </c>
      <c r="C11" s="1"/>
      <c r="D11" s="1"/>
      <c r="E11" s="1"/>
      <c r="F11" s="1"/>
    </row>
    <row r="12" spans="1:11" ht="24" customHeight="1" x14ac:dyDescent="0.15">
      <c r="A12" s="1"/>
      <c r="B12" s="1" t="s">
        <v>17</v>
      </c>
      <c r="C12" s="1"/>
      <c r="D12" s="1"/>
      <c r="E12" s="1"/>
      <c r="F12" s="1"/>
    </row>
    <row r="13" spans="1:11" ht="24" customHeight="1" x14ac:dyDescent="0.15">
      <c r="A13" s="1"/>
      <c r="B13" s="1"/>
      <c r="C13" s="1"/>
      <c r="D13" s="1"/>
      <c r="E13" s="1"/>
      <c r="F13" s="2"/>
    </row>
    <row r="14" spans="1:11" ht="24" customHeight="1" x14ac:dyDescent="0.15">
      <c r="A14" s="1"/>
      <c r="B14" s="1"/>
      <c r="C14" s="1"/>
      <c r="D14" s="1"/>
      <c r="E14" s="1"/>
      <c r="F14" s="2"/>
    </row>
    <row r="15" spans="1:11" ht="24" customHeight="1" x14ac:dyDescent="0.15">
      <c r="A15" s="1"/>
      <c r="B15" s="1"/>
      <c r="C15" s="1"/>
      <c r="D15" s="1"/>
      <c r="E15" s="1"/>
      <c r="F15" s="1"/>
    </row>
    <row r="16" spans="1:11" ht="24" customHeight="1" x14ac:dyDescent="0.15">
      <c r="A16" s="1"/>
      <c r="B16" s="1"/>
      <c r="C16" s="1"/>
      <c r="D16" s="1"/>
      <c r="E16" s="70" t="s">
        <v>47</v>
      </c>
      <c r="F16" s="217">
        <f>支払い明細!E1</f>
        <v>46042</v>
      </c>
      <c r="G16" s="217"/>
    </row>
    <row r="17" spans="1:14" ht="33.75" customHeight="1" thickBot="1" x14ac:dyDescent="0.2">
      <c r="A17" s="1"/>
      <c r="B17" s="72" t="s">
        <v>18</v>
      </c>
      <c r="C17" s="72" t="s">
        <v>19</v>
      </c>
      <c r="D17" s="72" t="s">
        <v>25</v>
      </c>
      <c r="E17" s="72" t="s">
        <v>20</v>
      </c>
      <c r="F17" s="72" t="s">
        <v>27</v>
      </c>
      <c r="J17" s="3" t="s">
        <v>18</v>
      </c>
      <c r="K17" s="3" t="s">
        <v>19</v>
      </c>
      <c r="L17" s="3" t="s">
        <v>25</v>
      </c>
      <c r="M17" s="3" t="s">
        <v>20</v>
      </c>
      <c r="N17" s="3" t="s">
        <v>27</v>
      </c>
    </row>
    <row r="18" spans="1:14" ht="33.75" customHeight="1" x14ac:dyDescent="0.15">
      <c r="A18" s="1"/>
      <c r="B18" s="71" t="s">
        <v>46</v>
      </c>
      <c r="C18" s="71" t="s">
        <v>114</v>
      </c>
      <c r="D18" s="110">
        <f>支払い明細!C61</f>
        <v>153087</v>
      </c>
      <c r="E18" s="111">
        <v>770</v>
      </c>
      <c r="F18" s="111">
        <f>INT(D18-E18)</f>
        <v>152317</v>
      </c>
      <c r="H18" s="6"/>
      <c r="I18" s="6"/>
      <c r="J18" s="3" t="s">
        <v>45</v>
      </c>
      <c r="K18" s="3" t="s">
        <v>21</v>
      </c>
      <c r="L18" s="43">
        <f>支払い明細!L52</f>
        <v>0</v>
      </c>
      <c r="M18" s="44"/>
      <c r="N18" s="44">
        <f t="shared" ref="N18:N24" si="0">INT(L18-M18)</f>
        <v>0</v>
      </c>
    </row>
    <row r="19" spans="1:14" ht="33.75" customHeight="1" x14ac:dyDescent="0.15">
      <c r="A19" s="1"/>
      <c r="B19" s="3" t="s">
        <v>26</v>
      </c>
      <c r="C19" s="71" t="s">
        <v>114</v>
      </c>
      <c r="D19" s="112"/>
      <c r="E19" s="113"/>
      <c r="F19" s="113">
        <f>INT(D19-E19)</f>
        <v>0</v>
      </c>
      <c r="J19" s="3" t="s">
        <v>35</v>
      </c>
      <c r="K19" s="3" t="s">
        <v>21</v>
      </c>
      <c r="L19" s="44"/>
      <c r="M19" s="44"/>
      <c r="N19" s="44">
        <f t="shared" si="0"/>
        <v>0</v>
      </c>
    </row>
    <row r="20" spans="1:14" ht="33.75" customHeight="1" thickBot="1" x14ac:dyDescent="0.2">
      <c r="A20" s="1"/>
      <c r="B20" s="69" t="s">
        <v>153</v>
      </c>
      <c r="C20" s="71" t="s">
        <v>114</v>
      </c>
      <c r="D20" s="114"/>
      <c r="E20" s="115"/>
      <c r="F20" s="115">
        <f>INT(D20-E20)</f>
        <v>0</v>
      </c>
      <c r="J20" s="3" t="s">
        <v>117</v>
      </c>
      <c r="K20" s="3" t="s">
        <v>22</v>
      </c>
      <c r="L20" s="45">
        <f>支払い明細!L56</f>
        <v>0</v>
      </c>
      <c r="M20" s="44">
        <v>880</v>
      </c>
      <c r="N20" s="44">
        <f t="shared" si="0"/>
        <v>-880</v>
      </c>
    </row>
    <row r="21" spans="1:14" ht="33.75" customHeight="1" thickTop="1" thickBot="1" x14ac:dyDescent="0.2">
      <c r="A21" s="1"/>
      <c r="B21" s="5" t="s">
        <v>24</v>
      </c>
      <c r="C21" s="5"/>
      <c r="D21" s="116">
        <f>INT(SUM(D18:D20))</f>
        <v>153087</v>
      </c>
      <c r="E21" s="116">
        <f>SUM(E18:E20)</f>
        <v>770</v>
      </c>
      <c r="F21" s="116">
        <f>SUM(F18:F20)</f>
        <v>152317</v>
      </c>
      <c r="H21" s="73">
        <f>支払い明細!C61</f>
        <v>153087</v>
      </c>
      <c r="J21" s="69" t="s">
        <v>118</v>
      </c>
      <c r="K21" s="3" t="s">
        <v>33</v>
      </c>
      <c r="L21" s="44"/>
      <c r="M21" s="44"/>
      <c r="N21" s="44">
        <f t="shared" si="0"/>
        <v>0</v>
      </c>
    </row>
    <row r="22" spans="1:14" ht="24" customHeight="1" thickTop="1" x14ac:dyDescent="0.15">
      <c r="A22" s="1"/>
      <c r="J22" s="3" t="s">
        <v>41</v>
      </c>
      <c r="K22" s="3" t="s">
        <v>41</v>
      </c>
      <c r="L22" s="44"/>
      <c r="M22" s="44"/>
      <c r="N22" s="44">
        <f t="shared" si="0"/>
        <v>0</v>
      </c>
    </row>
    <row r="23" spans="1:14" ht="24" customHeight="1" x14ac:dyDescent="0.15">
      <c r="A23" s="1"/>
      <c r="D23" s="68"/>
      <c r="G23" s="73"/>
      <c r="J23" s="3" t="s">
        <v>26</v>
      </c>
      <c r="K23" s="3" t="s">
        <v>23</v>
      </c>
      <c r="L23" s="43">
        <f>支払い明細!L57</f>
        <v>0</v>
      </c>
      <c r="M23" s="44"/>
      <c r="N23" s="44">
        <f t="shared" si="0"/>
        <v>0</v>
      </c>
    </row>
    <row r="24" spans="1:14" ht="24" customHeight="1" thickBot="1" x14ac:dyDescent="0.2">
      <c r="A24" s="1"/>
      <c r="J24" s="4" t="s">
        <v>42</v>
      </c>
      <c r="K24" s="4" t="s">
        <v>43</v>
      </c>
      <c r="L24" s="44"/>
      <c r="M24" s="44"/>
      <c r="N24" s="44">
        <f t="shared" si="0"/>
        <v>0</v>
      </c>
    </row>
    <row r="25" spans="1:14" ht="24" customHeight="1" thickTop="1" x14ac:dyDescent="0.15">
      <c r="A25" s="1"/>
      <c r="G25" s="73"/>
      <c r="H25" s="6"/>
      <c r="J25" s="5" t="s">
        <v>24</v>
      </c>
      <c r="K25" s="5"/>
      <c r="L25" s="46">
        <f>INT(SUM(L18:L24))</f>
        <v>0</v>
      </c>
      <c r="M25" s="46">
        <f>INT(SUM(M18:M24))</f>
        <v>880</v>
      </c>
      <c r="N25" s="46">
        <f>INT(SUM(N18:N24))</f>
        <v>-880</v>
      </c>
    </row>
  </sheetData>
  <mergeCells count="6">
    <mergeCell ref="F2:G2"/>
    <mergeCell ref="F16:G16"/>
    <mergeCell ref="E5:F5"/>
    <mergeCell ref="E6:G6"/>
    <mergeCell ref="F7:G7"/>
    <mergeCell ref="F8:G8"/>
  </mergeCells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AED1-A338-4B30-87C5-127735EF44BC}">
  <sheetPr filterMode="1"/>
  <dimension ref="A1:S88"/>
  <sheetViews>
    <sheetView tabSelected="1" topLeftCell="E15" workbookViewId="0">
      <selection activeCell="E88" sqref="E88"/>
    </sheetView>
  </sheetViews>
  <sheetFormatPr defaultRowHeight="13.5" x14ac:dyDescent="0.15"/>
  <cols>
    <col min="1" max="1" width="7.5" bestFit="1" customWidth="1"/>
    <col min="2" max="2" width="11.625" bestFit="1" customWidth="1"/>
    <col min="3" max="3" width="13" bestFit="1" customWidth="1"/>
    <col min="4" max="4" width="20.625" bestFit="1" customWidth="1"/>
    <col min="5" max="6" width="11" bestFit="1" customWidth="1"/>
    <col min="7" max="7" width="12.875" bestFit="1" customWidth="1"/>
    <col min="8" max="8" width="13.75" bestFit="1" customWidth="1"/>
    <col min="9" max="9" width="12.375" style="201" bestFit="1" customWidth="1"/>
    <col min="10" max="10" width="15.625" bestFit="1" customWidth="1"/>
    <col min="11" max="11" width="13" bestFit="1" customWidth="1"/>
    <col min="12" max="13" width="11" bestFit="1" customWidth="1"/>
    <col min="14" max="14" width="20.25" bestFit="1" customWidth="1"/>
    <col min="15" max="15" width="13.75" bestFit="1" customWidth="1"/>
    <col min="16" max="16" width="12.375" style="201" bestFit="1" customWidth="1"/>
    <col min="17" max="17" width="50.375" bestFit="1" customWidth="1"/>
    <col min="18" max="18" width="4.625" bestFit="1" customWidth="1"/>
    <col min="19" max="19" width="4.5" bestFit="1" customWidth="1"/>
  </cols>
  <sheetData>
    <row r="1" spans="1:19" x14ac:dyDescent="0.1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s="20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s="201" t="s">
        <v>171</v>
      </c>
      <c r="Q1" t="s">
        <v>172</v>
      </c>
      <c r="R1" t="s">
        <v>173</v>
      </c>
      <c r="S1" t="s">
        <v>174</v>
      </c>
    </row>
    <row r="2" spans="1:19" x14ac:dyDescent="0.15">
      <c r="B2" s="202">
        <f>支払い明細!$E$1</f>
        <v>46042</v>
      </c>
      <c r="C2" t="s">
        <v>175</v>
      </c>
      <c r="D2" t="str">
        <f>IF(IFERROR(VLOOKUP(支払い明細!B3,変換MAP!A:B,2,FALSE),"")=0,"",IFERROR(VLOOKUP(支払い明細!B3,変換MAP!A:B,2,FALSE),""))</f>
        <v>イトマン（株）</v>
      </c>
      <c r="G2" t="s">
        <v>176</v>
      </c>
      <c r="I2" s="201">
        <f>支払い明細!C3</f>
        <v>559416</v>
      </c>
      <c r="J2" t="s">
        <v>177</v>
      </c>
      <c r="N2" t="s">
        <v>176</v>
      </c>
      <c r="P2" s="201">
        <f>I2</f>
        <v>559416</v>
      </c>
      <c r="Q2" t="str">
        <f>D2</f>
        <v>イトマン（株）</v>
      </c>
    </row>
    <row r="3" spans="1:19" x14ac:dyDescent="0.15">
      <c r="B3" s="202">
        <f>支払い明細!$E$1</f>
        <v>46042</v>
      </c>
      <c r="C3" t="s">
        <v>175</v>
      </c>
      <c r="D3" t="str">
        <f>IF(IFERROR(VLOOKUP(支払い明細!B4,変換MAP!A:B,2,FALSE),"")=0,"",IFERROR(VLOOKUP(支払い明細!B4,変換MAP!A:B,2,FALSE),""))</f>
        <v>泉製紙（株）</v>
      </c>
      <c r="G3" t="s">
        <v>176</v>
      </c>
      <c r="I3" s="201">
        <f>支払い明細!C4</f>
        <v>3572250</v>
      </c>
      <c r="J3" t="s">
        <v>177</v>
      </c>
      <c r="N3" t="s">
        <v>176</v>
      </c>
      <c r="P3" s="201">
        <f t="shared" ref="P3:P66" si="0">I3</f>
        <v>3572250</v>
      </c>
      <c r="Q3" t="str">
        <f t="shared" ref="Q3:Q48" si="1">D3</f>
        <v>泉製紙（株）</v>
      </c>
    </row>
    <row r="4" spans="1:19" s="203" customFormat="1" hidden="1" x14ac:dyDescent="0.15">
      <c r="B4" s="204">
        <f>支払い明細!$E$1</f>
        <v>46042</v>
      </c>
      <c r="C4" s="203" t="s">
        <v>175</v>
      </c>
      <c r="D4" s="203" t="str">
        <f>IF(IFERROR(VLOOKUP(支払い明細!B5,変換MAP!A:B,2,FALSE),"")=0,"",IFERROR(VLOOKUP(支払い明細!B5,変換MAP!A:B,2,FALSE),""))</f>
        <v/>
      </c>
      <c r="G4" s="203" t="s">
        <v>176</v>
      </c>
      <c r="I4" s="201">
        <f>支払い明細!C5</f>
        <v>0</v>
      </c>
      <c r="J4" s="203" t="s">
        <v>177</v>
      </c>
      <c r="N4" s="203" t="s">
        <v>176</v>
      </c>
      <c r="P4" s="201">
        <f t="shared" si="0"/>
        <v>0</v>
      </c>
      <c r="Q4" s="203" t="str">
        <f t="shared" si="1"/>
        <v/>
      </c>
    </row>
    <row r="5" spans="1:19" s="203" customFormat="1" hidden="1" x14ac:dyDescent="0.15">
      <c r="B5" s="204">
        <f>支払い明細!$E$1</f>
        <v>46042</v>
      </c>
      <c r="C5" s="203" t="s">
        <v>175</v>
      </c>
      <c r="D5" s="203" t="str">
        <f>IF(IFERROR(VLOOKUP(支払い明細!B6,変換MAP!A:B,2,FALSE),"")=0,"",IFERROR(VLOOKUP(支払い明細!B6,変換MAP!A:B,2,FALSE),""))</f>
        <v/>
      </c>
      <c r="G5" s="203" t="s">
        <v>176</v>
      </c>
      <c r="I5" s="201">
        <f>支払い明細!C6</f>
        <v>0</v>
      </c>
      <c r="J5" s="203" t="s">
        <v>177</v>
      </c>
      <c r="N5" s="203" t="s">
        <v>176</v>
      </c>
      <c r="P5" s="201">
        <f t="shared" si="0"/>
        <v>0</v>
      </c>
      <c r="Q5" s="203" t="str">
        <f t="shared" si="1"/>
        <v/>
      </c>
    </row>
    <row r="6" spans="1:19" x14ac:dyDescent="0.15">
      <c r="B6" s="202">
        <f>支払い明細!$E$1</f>
        <v>46042</v>
      </c>
      <c r="C6" t="s">
        <v>175</v>
      </c>
      <c r="D6" t="str">
        <f>IF(IFERROR(VLOOKUP(支払い明細!B7,変換MAP!A:B,2,FALSE),"")=0,"",IFERROR(VLOOKUP(支払い明細!B7,変換MAP!A:B,2,FALSE),""))</f>
        <v>オルディ株式会社</v>
      </c>
      <c r="G6" t="s">
        <v>176</v>
      </c>
      <c r="I6" s="201">
        <f>支払い明細!C7</f>
        <v>447755</v>
      </c>
      <c r="J6" t="s">
        <v>177</v>
      </c>
      <c r="N6" t="s">
        <v>176</v>
      </c>
      <c r="P6" s="201">
        <f t="shared" si="0"/>
        <v>447755</v>
      </c>
      <c r="Q6" t="str">
        <f t="shared" si="1"/>
        <v>オルディ株式会社</v>
      </c>
    </row>
    <row r="7" spans="1:19" x14ac:dyDescent="0.15">
      <c r="B7" s="202">
        <f>支払い明細!$E$1</f>
        <v>46042</v>
      </c>
      <c r="C7" t="s">
        <v>175</v>
      </c>
      <c r="D7" t="str">
        <f>IF(IFERROR(VLOOKUP(支払い明細!B8,変換MAP!A:B,2,FALSE),"")=0,"",IFERROR(VLOOKUP(支払い明細!B8,変換MAP!A:B,2,FALSE),""))</f>
        <v>木野川紙業（株）</v>
      </c>
      <c r="G7" t="s">
        <v>176</v>
      </c>
      <c r="I7" s="201">
        <f>支払い明細!C8</f>
        <v>47905</v>
      </c>
      <c r="J7" t="s">
        <v>177</v>
      </c>
      <c r="N7" t="s">
        <v>176</v>
      </c>
      <c r="P7" s="201">
        <f t="shared" si="0"/>
        <v>47905</v>
      </c>
      <c r="Q7" t="str">
        <f t="shared" si="1"/>
        <v>木野川紙業（株）</v>
      </c>
    </row>
    <row r="8" spans="1:19" x14ac:dyDescent="0.15">
      <c r="B8" s="202">
        <f>支払い明細!$E$1</f>
        <v>46042</v>
      </c>
      <c r="C8" t="s">
        <v>175</v>
      </c>
      <c r="D8" t="str">
        <f>IF(IFERROR(VLOOKUP(支払い明細!B9,変換MAP!A:B,2,FALSE),"")=0,"",IFERROR(VLOOKUP(支払い明細!B9,変換MAP!A:B,2,FALSE),""))</f>
        <v>ｋｔｋ ケイティケイ（株）</v>
      </c>
      <c r="G8" t="s">
        <v>176</v>
      </c>
      <c r="I8" s="201">
        <f>支払い明細!C9</f>
        <v>209301</v>
      </c>
      <c r="J8" t="s">
        <v>177</v>
      </c>
      <c r="N8" t="s">
        <v>176</v>
      </c>
      <c r="P8" s="201">
        <f t="shared" si="0"/>
        <v>209301</v>
      </c>
      <c r="Q8" t="str">
        <f t="shared" si="1"/>
        <v>ｋｔｋ ケイティケイ（株）</v>
      </c>
    </row>
    <row r="9" spans="1:19" x14ac:dyDescent="0.15">
      <c r="B9" s="202">
        <f>支払い明細!$E$1</f>
        <v>46042</v>
      </c>
      <c r="C9" t="s">
        <v>175</v>
      </c>
      <c r="D9" t="str">
        <f>IF(IFERROR(VLOOKUP(支払い明細!B10,変換MAP!A:B,2,FALSE),"")=0,"",IFERROR(VLOOKUP(支払い明細!B10,変換MAP!A:B,2,FALSE),""))</f>
        <v>（株）尚美堂</v>
      </c>
      <c r="G9" t="s">
        <v>176</v>
      </c>
      <c r="I9" s="201">
        <f>支払い明細!C10</f>
        <v>503986</v>
      </c>
      <c r="J9" t="s">
        <v>177</v>
      </c>
      <c r="N9" t="s">
        <v>176</v>
      </c>
      <c r="P9" s="201">
        <f t="shared" si="0"/>
        <v>503986</v>
      </c>
      <c r="Q9" t="str">
        <f t="shared" si="1"/>
        <v>（株）尚美堂</v>
      </c>
    </row>
    <row r="10" spans="1:19" x14ac:dyDescent="0.15">
      <c r="B10" s="202">
        <f>支払い明細!$E$1</f>
        <v>46042</v>
      </c>
      <c r="C10" t="s">
        <v>175</v>
      </c>
      <c r="D10" t="str">
        <f>IF(IFERROR(VLOOKUP(支払い明細!B11,変換MAP!A:B,2,FALSE),"")=0,"",IFERROR(VLOOKUP(支払い明細!B11,変換MAP!A:B,2,FALSE),""))</f>
        <v>シーバイエス（株）</v>
      </c>
      <c r="G10" t="s">
        <v>176</v>
      </c>
      <c r="I10" s="201">
        <f>支払い明細!C11</f>
        <v>568370</v>
      </c>
      <c r="J10" t="s">
        <v>177</v>
      </c>
      <c r="N10" t="s">
        <v>176</v>
      </c>
      <c r="P10" s="201">
        <f t="shared" si="0"/>
        <v>568370</v>
      </c>
      <c r="Q10" t="str">
        <f t="shared" si="1"/>
        <v>シーバイエス（株）</v>
      </c>
    </row>
    <row r="11" spans="1:19" x14ac:dyDescent="0.15">
      <c r="B11" s="202">
        <f>支払い明細!$E$1</f>
        <v>46042</v>
      </c>
      <c r="C11" t="s">
        <v>175</v>
      </c>
      <c r="D11" t="str">
        <f>IF(IFERROR(VLOOKUP(支払い明細!B12,変換MAP!A:B,2,FALSE),"")=0,"",IFERROR(VLOOKUP(支払い明細!B12,変換MAP!A:B,2,FALSE),""))</f>
        <v>（株）スズカ未来</v>
      </c>
      <c r="G11" t="s">
        <v>176</v>
      </c>
      <c r="I11" s="201">
        <f>支払い明細!C12</f>
        <v>158928</v>
      </c>
      <c r="J11" t="s">
        <v>177</v>
      </c>
      <c r="N11" t="s">
        <v>176</v>
      </c>
      <c r="P11" s="201">
        <f t="shared" si="0"/>
        <v>158928</v>
      </c>
      <c r="Q11" t="str">
        <f t="shared" si="1"/>
        <v>（株）スズカ未来</v>
      </c>
    </row>
    <row r="12" spans="1:19" s="203" customFormat="1" hidden="1" x14ac:dyDescent="0.15">
      <c r="B12" s="204">
        <f>支払い明細!$E$1</f>
        <v>46042</v>
      </c>
      <c r="C12" s="203" t="s">
        <v>175</v>
      </c>
      <c r="D12" s="203" t="str">
        <f>IF(IFERROR(VLOOKUP(支払い明細!B13,変換MAP!A:B,2,FALSE),"")=0,"",IFERROR(VLOOKUP(支払い明細!B13,変換MAP!A:B,2,FALSE),""))</f>
        <v/>
      </c>
      <c r="G12" s="203" t="s">
        <v>176</v>
      </c>
      <c r="I12" s="201">
        <f>支払い明細!C13</f>
        <v>0</v>
      </c>
      <c r="J12" s="203" t="s">
        <v>177</v>
      </c>
      <c r="N12" s="203" t="s">
        <v>176</v>
      </c>
      <c r="P12" s="201">
        <f t="shared" si="0"/>
        <v>0</v>
      </c>
      <c r="Q12" s="203" t="str">
        <f t="shared" si="1"/>
        <v/>
      </c>
    </row>
    <row r="13" spans="1:19" s="203" customFormat="1" hidden="1" x14ac:dyDescent="0.15">
      <c r="B13" s="204">
        <f>支払い明細!$E$1</f>
        <v>46042</v>
      </c>
      <c r="C13" s="203" t="s">
        <v>175</v>
      </c>
      <c r="D13" s="203" t="str">
        <f>IF(IFERROR(VLOOKUP(支払い明細!B14,変換MAP!A:B,2,FALSE),"")=0,"",IFERROR(VLOOKUP(支払い明細!B14,変換MAP!A:B,2,FALSE),""))</f>
        <v/>
      </c>
      <c r="G13" s="203" t="s">
        <v>176</v>
      </c>
      <c r="I13" s="201">
        <f>支払い明細!C14</f>
        <v>0</v>
      </c>
      <c r="J13" s="203" t="s">
        <v>177</v>
      </c>
      <c r="N13" s="203" t="s">
        <v>176</v>
      </c>
      <c r="P13" s="201">
        <f t="shared" si="0"/>
        <v>0</v>
      </c>
      <c r="Q13" s="203" t="str">
        <f t="shared" si="1"/>
        <v/>
      </c>
    </row>
    <row r="14" spans="1:19" s="203" customFormat="1" hidden="1" x14ac:dyDescent="0.15">
      <c r="B14" s="204">
        <f>支払い明細!$E$1</f>
        <v>46042</v>
      </c>
      <c r="C14" s="203" t="s">
        <v>175</v>
      </c>
      <c r="D14" s="203" t="str">
        <f>IF(IFERROR(VLOOKUP(支払い明細!B15,変換MAP!A:B,2,FALSE),"")=0,"",IFERROR(VLOOKUP(支払い明細!B15,変換MAP!A:B,2,FALSE),""))</f>
        <v/>
      </c>
      <c r="G14" s="203" t="s">
        <v>176</v>
      </c>
      <c r="I14" s="201">
        <f>支払い明細!C15</f>
        <v>0</v>
      </c>
      <c r="J14" s="203" t="s">
        <v>177</v>
      </c>
      <c r="N14" s="203" t="s">
        <v>176</v>
      </c>
      <c r="P14" s="201">
        <f t="shared" si="0"/>
        <v>0</v>
      </c>
      <c r="Q14" s="203" t="str">
        <f t="shared" si="1"/>
        <v/>
      </c>
    </row>
    <row r="15" spans="1:19" x14ac:dyDescent="0.15">
      <c r="B15" s="202">
        <f>支払い明細!$E$1</f>
        <v>46042</v>
      </c>
      <c r="C15" t="s">
        <v>175</v>
      </c>
      <c r="D15" t="str">
        <f>IF(IFERROR(VLOOKUP(支払い明細!B16,変換MAP!A:B,2,FALSE),"")=0,"",IFERROR(VLOOKUP(支払い明細!B16,変換MAP!A:B,2,FALSE),""))</f>
        <v>中川製袋化工（株）</v>
      </c>
      <c r="G15" t="s">
        <v>176</v>
      </c>
      <c r="I15" s="201">
        <f>支払い明細!C16</f>
        <v>796810</v>
      </c>
      <c r="J15" t="s">
        <v>177</v>
      </c>
      <c r="N15" t="s">
        <v>176</v>
      </c>
      <c r="P15" s="201">
        <f t="shared" si="0"/>
        <v>796810</v>
      </c>
      <c r="Q15" t="str">
        <f t="shared" si="1"/>
        <v>中川製袋化工（株）</v>
      </c>
    </row>
    <row r="16" spans="1:19" x14ac:dyDescent="0.15">
      <c r="B16" s="202">
        <f>支払い明細!$E$1</f>
        <v>46042</v>
      </c>
      <c r="C16" t="s">
        <v>175</v>
      </c>
      <c r="D16" t="str">
        <f>IF(IFERROR(VLOOKUP(支払い明細!B17,変換MAP!A:B,2,FALSE),"")=0,"",IFERROR(VLOOKUP(支払い明細!B17,変換MAP!A:B,2,FALSE),""))</f>
        <v>広島共和物産（株）</v>
      </c>
      <c r="G16" t="s">
        <v>176</v>
      </c>
      <c r="I16" s="201">
        <f>支払い明細!C17</f>
        <v>513289</v>
      </c>
      <c r="J16" t="s">
        <v>177</v>
      </c>
      <c r="N16" t="s">
        <v>176</v>
      </c>
      <c r="P16" s="201">
        <f t="shared" si="0"/>
        <v>513289</v>
      </c>
      <c r="Q16" t="str">
        <f t="shared" si="1"/>
        <v>広島共和物産（株）</v>
      </c>
    </row>
    <row r="17" spans="2:17" x14ac:dyDescent="0.15">
      <c r="B17" s="202">
        <f>支払い明細!$E$1</f>
        <v>46042</v>
      </c>
      <c r="C17" t="s">
        <v>175</v>
      </c>
      <c r="D17" t="str">
        <f>IF(IFERROR(VLOOKUP(支払い明細!B18,変換MAP!A:B,2,FALSE),"")=0,"",IFERROR(VLOOKUP(支払い明細!B18,変換MAP!A:B,2,FALSE),""))</f>
        <v>福助工業（株）</v>
      </c>
      <c r="G17" t="s">
        <v>176</v>
      </c>
      <c r="I17" s="201">
        <f>支払い明細!C18</f>
        <v>1621191</v>
      </c>
      <c r="J17" t="s">
        <v>177</v>
      </c>
      <c r="N17" t="s">
        <v>176</v>
      </c>
      <c r="P17" s="201">
        <f t="shared" si="0"/>
        <v>1621191</v>
      </c>
      <c r="Q17" t="str">
        <f t="shared" si="1"/>
        <v>福助工業（株）</v>
      </c>
    </row>
    <row r="18" spans="2:17" hidden="1" x14ac:dyDescent="0.15">
      <c r="B18" s="202">
        <f>支払い明細!$E$1</f>
        <v>46042</v>
      </c>
      <c r="C18" t="s">
        <v>175</v>
      </c>
      <c r="D18" t="str">
        <f>IF(IFERROR(VLOOKUP(支払い明細!B19,変換MAP!A:B,2,FALSE),"")=0,"",IFERROR(VLOOKUP(支払い明細!B19,変換MAP!A:B,2,FALSE),""))</f>
        <v>（株）やしき</v>
      </c>
      <c r="G18" t="s">
        <v>176</v>
      </c>
      <c r="I18" s="201">
        <f>支払い明細!C19</f>
        <v>0</v>
      </c>
      <c r="J18" t="s">
        <v>177</v>
      </c>
      <c r="N18" t="s">
        <v>176</v>
      </c>
      <c r="P18" s="201">
        <f t="shared" si="0"/>
        <v>0</v>
      </c>
      <c r="Q18" t="str">
        <f t="shared" si="1"/>
        <v>（株）やしき</v>
      </c>
    </row>
    <row r="19" spans="2:17" x14ac:dyDescent="0.15">
      <c r="B19" s="202">
        <f>支払い明細!$E$1</f>
        <v>46042</v>
      </c>
      <c r="C19" t="s">
        <v>175</v>
      </c>
      <c r="D19" t="str">
        <f>IF(IFERROR(VLOOKUP(支払い明細!B20,変換MAP!A:B,2,FALSE),"")=0,"",IFERROR(VLOOKUP(支払い明細!B20,変換MAP!A:B,2,FALSE),""))</f>
        <v>ユニ・チャーム(株)</v>
      </c>
      <c r="G19" t="s">
        <v>176</v>
      </c>
      <c r="I19" s="201">
        <f>支払い明細!C20</f>
        <v>1429592</v>
      </c>
      <c r="J19" t="s">
        <v>177</v>
      </c>
      <c r="N19" t="s">
        <v>176</v>
      </c>
      <c r="P19" s="201">
        <f t="shared" si="0"/>
        <v>1429592</v>
      </c>
      <c r="Q19" t="str">
        <f t="shared" si="1"/>
        <v>ユニ・チャーム(株)</v>
      </c>
    </row>
    <row r="20" spans="2:17" x14ac:dyDescent="0.15">
      <c r="B20" s="202">
        <f>支払い明細!$E$1</f>
        <v>46042</v>
      </c>
      <c r="C20" t="s">
        <v>175</v>
      </c>
      <c r="D20" t="str">
        <f>IF(IFERROR(VLOOKUP(支払い明細!B21,変換MAP!A:B,2,FALSE),"")=0,"",IFERROR(VLOOKUP(支払い明細!B21,変換MAP!A:B,2,FALSE),""))</f>
        <v>（株）旭創業</v>
      </c>
      <c r="G20" t="s">
        <v>176</v>
      </c>
      <c r="I20" s="201">
        <f>支払い明細!C21</f>
        <v>395263</v>
      </c>
      <c r="J20" t="s">
        <v>177</v>
      </c>
      <c r="N20" t="s">
        <v>176</v>
      </c>
      <c r="P20" s="201">
        <f t="shared" si="0"/>
        <v>395263</v>
      </c>
      <c r="Q20" t="str">
        <f t="shared" si="1"/>
        <v>（株）旭創業</v>
      </c>
    </row>
    <row r="21" spans="2:17" hidden="1" x14ac:dyDescent="0.15">
      <c r="B21" s="202">
        <f>支払い明細!$E$1</f>
        <v>46042</v>
      </c>
      <c r="C21" t="s">
        <v>175</v>
      </c>
      <c r="D21" t="str">
        <f>IF(IFERROR(VLOOKUP(支払い明細!B22,変換MAP!A:B,2,FALSE),"")=0,"",IFERROR(VLOOKUP(支払い明細!B22,変換MAP!A:B,2,FALSE),""))</f>
        <v/>
      </c>
      <c r="G21" t="s">
        <v>176</v>
      </c>
      <c r="I21" s="201">
        <f>支払い明細!C22</f>
        <v>0</v>
      </c>
      <c r="J21" t="s">
        <v>177</v>
      </c>
      <c r="N21" t="s">
        <v>176</v>
      </c>
      <c r="P21" s="201">
        <f t="shared" si="0"/>
        <v>0</v>
      </c>
      <c r="Q21" t="str">
        <f t="shared" si="1"/>
        <v/>
      </c>
    </row>
    <row r="22" spans="2:17" hidden="1" x14ac:dyDescent="0.15">
      <c r="B22" s="202">
        <f>支払い明細!$E$1</f>
        <v>46042</v>
      </c>
      <c r="C22" t="s">
        <v>175</v>
      </c>
      <c r="D22" t="str">
        <f>IF(IFERROR(VLOOKUP(支払い明細!B23,変換MAP!A:B,2,FALSE),"")=0,"",IFERROR(VLOOKUP(支払い明細!B23,変換MAP!A:B,2,FALSE),""))</f>
        <v>（株）大阪包装社</v>
      </c>
      <c r="G22" t="s">
        <v>176</v>
      </c>
      <c r="I22" s="201">
        <f>支払い明細!C23</f>
        <v>0</v>
      </c>
      <c r="J22" t="s">
        <v>177</v>
      </c>
      <c r="N22" t="s">
        <v>176</v>
      </c>
      <c r="P22" s="201">
        <f t="shared" si="0"/>
        <v>0</v>
      </c>
      <c r="Q22" t="str">
        <f t="shared" si="1"/>
        <v>（株）大阪包装社</v>
      </c>
    </row>
    <row r="23" spans="2:17" x14ac:dyDescent="0.15">
      <c r="B23" s="202">
        <f>支払い明細!$E$1</f>
        <v>46042</v>
      </c>
      <c r="C23" t="s">
        <v>175</v>
      </c>
      <c r="D23" t="str">
        <f>IF(IFERROR(VLOOKUP(支払い明細!B24,変換MAP!A:B,2,FALSE),"")=0,"",IFERROR(VLOOKUP(支払い明細!B24,変換MAP!A:B,2,FALSE),""))</f>
        <v>カミイソ産商（株）</v>
      </c>
      <c r="G23" t="s">
        <v>176</v>
      </c>
      <c r="I23" s="201">
        <f>支払い明細!C24</f>
        <v>18700</v>
      </c>
      <c r="J23" t="s">
        <v>177</v>
      </c>
      <c r="N23" t="s">
        <v>176</v>
      </c>
      <c r="P23" s="201">
        <f t="shared" si="0"/>
        <v>18700</v>
      </c>
      <c r="Q23" t="str">
        <f t="shared" si="1"/>
        <v>カミイソ産商（株）</v>
      </c>
    </row>
    <row r="24" spans="2:17" hidden="1" x14ac:dyDescent="0.15">
      <c r="B24" s="202">
        <f>支払い明細!$E$1</f>
        <v>46042</v>
      </c>
      <c r="C24" t="s">
        <v>175</v>
      </c>
      <c r="D24" t="str">
        <f>IF(IFERROR(VLOOKUP(支払い明細!B25,変換MAP!A:B,2,FALSE),"")=0,"",IFERROR(VLOOKUP(支払い明細!B25,変換MAP!A:B,2,FALSE),""))</f>
        <v>木村アルミ箔（株）</v>
      </c>
      <c r="G24" t="s">
        <v>176</v>
      </c>
      <c r="I24" s="201">
        <f>支払い明細!C25</f>
        <v>0</v>
      </c>
      <c r="J24" t="s">
        <v>177</v>
      </c>
      <c r="N24" t="s">
        <v>176</v>
      </c>
      <c r="P24" s="201">
        <f t="shared" si="0"/>
        <v>0</v>
      </c>
      <c r="Q24" t="str">
        <f t="shared" si="1"/>
        <v>木村アルミ箔（株）</v>
      </c>
    </row>
    <row r="25" spans="2:17" hidden="1" x14ac:dyDescent="0.15">
      <c r="B25" s="202">
        <f>支払い明細!$E$1</f>
        <v>46042</v>
      </c>
      <c r="C25" t="s">
        <v>175</v>
      </c>
      <c r="D25" t="str">
        <f>IF(IFERROR(VLOOKUP(支払い明細!B26,変換MAP!A:B,2,FALSE),"")=0,"",IFERROR(VLOOKUP(支払い明細!B26,変換MAP!A:B,2,FALSE),""))</f>
        <v/>
      </c>
      <c r="G25" t="s">
        <v>176</v>
      </c>
      <c r="I25" s="201">
        <f>支払い明細!C26</f>
        <v>0</v>
      </c>
      <c r="J25" t="s">
        <v>177</v>
      </c>
      <c r="N25" t="s">
        <v>176</v>
      </c>
      <c r="P25" s="201">
        <f t="shared" si="0"/>
        <v>0</v>
      </c>
      <c r="Q25" t="str">
        <f t="shared" si="1"/>
        <v/>
      </c>
    </row>
    <row r="26" spans="2:17" hidden="1" x14ac:dyDescent="0.15">
      <c r="B26" s="202">
        <f>支払い明細!$E$1</f>
        <v>46042</v>
      </c>
      <c r="C26" t="s">
        <v>175</v>
      </c>
      <c r="D26" t="str">
        <f>IF(IFERROR(VLOOKUP(支払い明細!B27,変換MAP!A:B,2,FALSE),"")=0,"",IFERROR(VLOOKUP(支払い明細!B27,変換MAP!A:B,2,FALSE),""))</f>
        <v/>
      </c>
      <c r="G26" t="s">
        <v>176</v>
      </c>
      <c r="I26" s="201">
        <f>支払い明細!C27</f>
        <v>0</v>
      </c>
      <c r="J26" t="s">
        <v>177</v>
      </c>
      <c r="N26" t="s">
        <v>176</v>
      </c>
      <c r="P26" s="201">
        <f t="shared" si="0"/>
        <v>0</v>
      </c>
      <c r="Q26" t="str">
        <f t="shared" si="1"/>
        <v/>
      </c>
    </row>
    <row r="27" spans="2:17" hidden="1" x14ac:dyDescent="0.15">
      <c r="B27" s="202">
        <f>支払い明細!$E$1</f>
        <v>46042</v>
      </c>
      <c r="C27" t="s">
        <v>175</v>
      </c>
      <c r="D27" t="str">
        <f>IF(IFERROR(VLOOKUP(支払い明細!B28,変換MAP!A:B,2,FALSE),"")=0,"",IFERROR(VLOOKUP(支払い明細!B28,変換MAP!A:B,2,FALSE),""))</f>
        <v/>
      </c>
      <c r="G27" t="s">
        <v>176</v>
      </c>
      <c r="I27" s="201">
        <f>支払い明細!C28</f>
        <v>0</v>
      </c>
      <c r="J27" t="s">
        <v>177</v>
      </c>
      <c r="N27" t="s">
        <v>176</v>
      </c>
      <c r="P27" s="201">
        <f t="shared" si="0"/>
        <v>0</v>
      </c>
      <c r="Q27" t="str">
        <f t="shared" si="1"/>
        <v/>
      </c>
    </row>
    <row r="28" spans="2:17" hidden="1" x14ac:dyDescent="0.15">
      <c r="B28" s="202">
        <f>支払い明細!$E$1</f>
        <v>46042</v>
      </c>
      <c r="C28" t="s">
        <v>175</v>
      </c>
      <c r="D28" t="str">
        <f>IF(IFERROR(VLOOKUP(支払い明細!B29,変換MAP!A:B,2,FALSE),"")=0,"",IFERROR(VLOOKUP(支払い明細!B29,変換MAP!A:B,2,FALSE),""))</f>
        <v/>
      </c>
      <c r="G28" t="s">
        <v>176</v>
      </c>
      <c r="I28" s="201">
        <f>支払い明細!C29</f>
        <v>0</v>
      </c>
      <c r="J28" t="s">
        <v>177</v>
      </c>
      <c r="N28" t="s">
        <v>176</v>
      </c>
      <c r="P28" s="201">
        <f t="shared" si="0"/>
        <v>0</v>
      </c>
      <c r="Q28" t="str">
        <f t="shared" si="1"/>
        <v/>
      </c>
    </row>
    <row r="29" spans="2:17" hidden="1" x14ac:dyDescent="0.15">
      <c r="B29" s="202">
        <f>支払い明細!$E$1</f>
        <v>46042</v>
      </c>
      <c r="C29" t="s">
        <v>175</v>
      </c>
      <c r="D29" t="str">
        <f>IF(IFERROR(VLOOKUP(支払い明細!B30,変換MAP!A:B,2,FALSE),"")=0,"",IFERROR(VLOOKUP(支払い明細!B30,変換MAP!A:B,2,FALSE),""))</f>
        <v>（株）セイコー</v>
      </c>
      <c r="G29" t="s">
        <v>176</v>
      </c>
      <c r="I29" s="201">
        <f>支払い明細!C30</f>
        <v>0</v>
      </c>
      <c r="J29" t="s">
        <v>177</v>
      </c>
      <c r="N29" t="s">
        <v>176</v>
      </c>
      <c r="P29" s="201">
        <f t="shared" si="0"/>
        <v>0</v>
      </c>
      <c r="Q29" t="str">
        <f t="shared" si="1"/>
        <v>（株）セイコー</v>
      </c>
    </row>
    <row r="30" spans="2:17" hidden="1" x14ac:dyDescent="0.15">
      <c r="B30" s="202">
        <f>支払い明細!$E$1</f>
        <v>46042</v>
      </c>
      <c r="C30" t="s">
        <v>175</v>
      </c>
      <c r="D30" t="str">
        <f>IF(IFERROR(VLOOKUP(支払い明細!B31,変換MAP!A:B,2,FALSE),"")=0,"",IFERROR(VLOOKUP(支払い明細!B31,変換MAP!A:B,2,FALSE),""))</f>
        <v>（株）太幸</v>
      </c>
      <c r="G30" t="s">
        <v>176</v>
      </c>
      <c r="I30" s="201">
        <f>支払い明細!C31</f>
        <v>0</v>
      </c>
      <c r="J30" t="s">
        <v>177</v>
      </c>
      <c r="N30" t="s">
        <v>176</v>
      </c>
      <c r="P30" s="201">
        <f t="shared" si="0"/>
        <v>0</v>
      </c>
      <c r="Q30" t="str">
        <f t="shared" si="1"/>
        <v>（株）太幸</v>
      </c>
    </row>
    <row r="31" spans="2:17" x14ac:dyDescent="0.15">
      <c r="B31" s="202">
        <f>支払い明細!$E$1</f>
        <v>46042</v>
      </c>
      <c r="C31" t="s">
        <v>175</v>
      </c>
      <c r="D31" t="str">
        <f>IF(IFERROR(VLOOKUP(支払い明細!B32,変換MAP!A:B,2,FALSE),"")=0,"",IFERROR(VLOOKUP(支払い明細!B32,変換MAP!A:B,2,FALSE),""))</f>
        <v>大黒工業（株）</v>
      </c>
      <c r="G31" t="s">
        <v>176</v>
      </c>
      <c r="I31" s="201">
        <f>支払い明細!C32</f>
        <v>67650</v>
      </c>
      <c r="J31" t="s">
        <v>177</v>
      </c>
      <c r="N31" t="s">
        <v>176</v>
      </c>
      <c r="P31" s="201">
        <f t="shared" si="0"/>
        <v>67650</v>
      </c>
      <c r="Q31" t="str">
        <f t="shared" si="1"/>
        <v>大黒工業（株）</v>
      </c>
    </row>
    <row r="32" spans="2:17" x14ac:dyDescent="0.15">
      <c r="B32" s="202">
        <f>支払い明細!$E$1</f>
        <v>46042</v>
      </c>
      <c r="C32" t="s">
        <v>175</v>
      </c>
      <c r="D32" t="str">
        <f>IF(IFERROR(VLOOKUP(支払い明細!B33,変換MAP!A:B,2,FALSE),"")=0,"",IFERROR(VLOOKUP(支払い明細!B33,変換MAP!A:B,2,FALSE),""))</f>
        <v>（株）パックタケヤマ</v>
      </c>
      <c r="G32" t="s">
        <v>176</v>
      </c>
      <c r="I32" s="201">
        <f>支払い明細!C33</f>
        <v>74228</v>
      </c>
      <c r="J32" t="s">
        <v>177</v>
      </c>
      <c r="N32" t="s">
        <v>176</v>
      </c>
      <c r="P32" s="201">
        <f t="shared" si="0"/>
        <v>74228</v>
      </c>
      <c r="Q32" t="str">
        <f t="shared" si="1"/>
        <v>（株）パックタケヤマ</v>
      </c>
    </row>
    <row r="33" spans="2:17" hidden="1" x14ac:dyDescent="0.15">
      <c r="B33" s="202">
        <f>支払い明細!$E$1</f>
        <v>46042</v>
      </c>
      <c r="C33" t="s">
        <v>175</v>
      </c>
      <c r="D33" t="str">
        <f>IF(IFERROR(VLOOKUP(支払い明細!B34,変換MAP!A:B,2,FALSE),"")=0,"",IFERROR(VLOOKUP(支払い明細!B34,変換MAP!A:B,2,FALSE),""))</f>
        <v/>
      </c>
      <c r="G33" t="s">
        <v>176</v>
      </c>
      <c r="I33" s="201">
        <f>支払い明細!C34</f>
        <v>0</v>
      </c>
      <c r="J33" t="s">
        <v>177</v>
      </c>
      <c r="N33" t="s">
        <v>176</v>
      </c>
      <c r="P33" s="201">
        <f t="shared" si="0"/>
        <v>0</v>
      </c>
      <c r="Q33" t="str">
        <f t="shared" si="1"/>
        <v/>
      </c>
    </row>
    <row r="34" spans="2:17" hidden="1" x14ac:dyDescent="0.15">
      <c r="B34" s="202">
        <f>支払い明細!$E$1</f>
        <v>46042</v>
      </c>
      <c r="C34" t="s">
        <v>175</v>
      </c>
      <c r="D34" t="str">
        <f>IF(IFERROR(VLOOKUP(支払い明細!B35,変換MAP!A:B,2,FALSE),"")=0,"",IFERROR(VLOOKUP(支払い明細!B35,変換MAP!A:B,2,FALSE),""))</f>
        <v/>
      </c>
      <c r="G34" t="s">
        <v>176</v>
      </c>
      <c r="I34" s="201">
        <f>支払い明細!C35</f>
        <v>0</v>
      </c>
      <c r="J34" t="s">
        <v>177</v>
      </c>
      <c r="N34" t="s">
        <v>176</v>
      </c>
      <c r="P34" s="201">
        <f t="shared" si="0"/>
        <v>0</v>
      </c>
      <c r="Q34" t="str">
        <f t="shared" si="1"/>
        <v/>
      </c>
    </row>
    <row r="35" spans="2:17" hidden="1" x14ac:dyDescent="0.15">
      <c r="B35" s="202">
        <f>支払い明細!$E$1</f>
        <v>46042</v>
      </c>
      <c r="C35" t="s">
        <v>175</v>
      </c>
      <c r="D35" t="str">
        <f>IF(IFERROR(VLOOKUP(支払い明細!B36,変換MAP!A:B,2,FALSE),"")=0,"",IFERROR(VLOOKUP(支払い明細!B36,変換MAP!A:B,2,FALSE),""))</f>
        <v>シービー化成（株）</v>
      </c>
      <c r="G35" t="s">
        <v>176</v>
      </c>
      <c r="I35" s="201">
        <f>支払い明細!C36</f>
        <v>0</v>
      </c>
      <c r="J35" t="s">
        <v>177</v>
      </c>
      <c r="N35" t="s">
        <v>176</v>
      </c>
      <c r="P35" s="201">
        <f t="shared" si="0"/>
        <v>0</v>
      </c>
      <c r="Q35" t="str">
        <f t="shared" si="1"/>
        <v>シービー化成（株）</v>
      </c>
    </row>
    <row r="36" spans="2:17" hidden="1" x14ac:dyDescent="0.15">
      <c r="B36" s="202">
        <f>支払い明細!$E$1</f>
        <v>46042</v>
      </c>
      <c r="C36" t="s">
        <v>175</v>
      </c>
      <c r="D36" t="str">
        <f>IF(IFERROR(VLOOKUP(支払い明細!B37,変換MAP!A:B,2,FALSE),"")=0,"",IFERROR(VLOOKUP(支払い明細!B37,変換MAP!A:B,2,FALSE),""))</f>
        <v/>
      </c>
      <c r="G36" t="s">
        <v>176</v>
      </c>
      <c r="I36" s="201">
        <f>支払い明細!C37</f>
        <v>0</v>
      </c>
      <c r="J36" t="s">
        <v>177</v>
      </c>
      <c r="N36" t="s">
        <v>176</v>
      </c>
      <c r="P36" s="201">
        <f t="shared" si="0"/>
        <v>0</v>
      </c>
      <c r="Q36" t="str">
        <f t="shared" si="1"/>
        <v/>
      </c>
    </row>
    <row r="37" spans="2:17" hidden="1" x14ac:dyDescent="0.15">
      <c r="B37" s="202">
        <f>支払い明細!$E$1</f>
        <v>46042</v>
      </c>
      <c r="C37" t="s">
        <v>175</v>
      </c>
      <c r="D37" t="str">
        <f>IF(IFERROR(VLOOKUP(支払い明細!B38,変換MAP!A:B,2,FALSE),"")=0,"",IFERROR(VLOOKUP(支払い明細!B38,変換MAP!A:B,2,FALSE),""))</f>
        <v/>
      </c>
      <c r="G37" t="s">
        <v>176</v>
      </c>
      <c r="I37" s="201">
        <f>支払い明細!C38</f>
        <v>0</v>
      </c>
      <c r="J37" t="s">
        <v>177</v>
      </c>
      <c r="N37" t="s">
        <v>176</v>
      </c>
      <c r="P37" s="201">
        <f t="shared" si="0"/>
        <v>0</v>
      </c>
      <c r="Q37" t="str">
        <f t="shared" si="1"/>
        <v/>
      </c>
    </row>
    <row r="38" spans="2:17" x14ac:dyDescent="0.15">
      <c r="B38" s="202">
        <f>支払い明細!$E$1</f>
        <v>46042</v>
      </c>
      <c r="C38" t="s">
        <v>175</v>
      </c>
      <c r="D38" t="str">
        <f>IF(IFERROR(VLOOKUP(支払い明細!B39,変換MAP!A:B,2,FALSE),"")=0,"",IFERROR(VLOOKUP(支払い明細!B39,変換MAP!A:B,2,FALSE),""))</f>
        <v>天満紙器（株）</v>
      </c>
      <c r="G38" t="s">
        <v>176</v>
      </c>
      <c r="I38" s="201">
        <f>支払い明細!C39</f>
        <v>425282</v>
      </c>
      <c r="J38" t="s">
        <v>177</v>
      </c>
      <c r="N38" t="s">
        <v>176</v>
      </c>
      <c r="P38" s="201">
        <f t="shared" si="0"/>
        <v>425282</v>
      </c>
      <c r="Q38" t="str">
        <f t="shared" si="1"/>
        <v>天満紙器（株）</v>
      </c>
    </row>
    <row r="39" spans="2:17" x14ac:dyDescent="0.15">
      <c r="B39" s="202">
        <f>支払い明細!$E$1</f>
        <v>46042</v>
      </c>
      <c r="C39" t="s">
        <v>175</v>
      </c>
      <c r="D39" t="str">
        <f>IF(IFERROR(VLOOKUP(支払い明細!B40,変換MAP!A:B,2,FALSE),"")=0,"",IFERROR(VLOOKUP(支払い明細!B40,変換MAP!A:B,2,FALSE),""))</f>
        <v>（株）東光</v>
      </c>
      <c r="G39" t="s">
        <v>176</v>
      </c>
      <c r="I39" s="201">
        <f>支払い明細!C40</f>
        <v>134866</v>
      </c>
      <c r="J39" t="s">
        <v>177</v>
      </c>
      <c r="N39" t="s">
        <v>176</v>
      </c>
      <c r="P39" s="201">
        <f t="shared" si="0"/>
        <v>134866</v>
      </c>
      <c r="Q39" t="str">
        <f t="shared" si="1"/>
        <v>（株）東光</v>
      </c>
    </row>
    <row r="40" spans="2:17" hidden="1" x14ac:dyDescent="0.15">
      <c r="B40" s="202">
        <f>支払い明細!$E$1</f>
        <v>46042</v>
      </c>
      <c r="C40" t="s">
        <v>175</v>
      </c>
      <c r="D40" t="str">
        <f>IF(IFERROR(VLOOKUP(支払い明細!B41,変換MAP!A:B,2,FALSE),"")=0,"",IFERROR(VLOOKUP(支払い明細!B41,変換MAP!A:B,2,FALSE),""))</f>
        <v/>
      </c>
      <c r="G40" t="s">
        <v>176</v>
      </c>
      <c r="I40" s="201">
        <f>支払い明細!C41</f>
        <v>0</v>
      </c>
      <c r="J40" t="s">
        <v>177</v>
      </c>
      <c r="N40" t="s">
        <v>176</v>
      </c>
      <c r="P40" s="201">
        <f t="shared" si="0"/>
        <v>0</v>
      </c>
      <c r="Q40" t="str">
        <f t="shared" si="1"/>
        <v/>
      </c>
    </row>
    <row r="41" spans="2:17" hidden="1" x14ac:dyDescent="0.15">
      <c r="B41" s="202">
        <f>支払い明細!$E$1</f>
        <v>46042</v>
      </c>
      <c r="C41" t="s">
        <v>175</v>
      </c>
      <c r="D41" t="str">
        <f>IF(IFERROR(VLOOKUP(支払い明細!B42,変換MAP!A:B,2,FALSE),"")=0,"",IFERROR(VLOOKUP(支払い明細!B42,変換MAP!A:B,2,FALSE),""))</f>
        <v/>
      </c>
      <c r="G41" t="s">
        <v>176</v>
      </c>
      <c r="I41" s="201">
        <f>支払い明細!C42</f>
        <v>0</v>
      </c>
      <c r="J41" t="s">
        <v>177</v>
      </c>
      <c r="N41" t="s">
        <v>176</v>
      </c>
      <c r="P41" s="201">
        <f t="shared" si="0"/>
        <v>0</v>
      </c>
      <c r="Q41" t="str">
        <f t="shared" si="1"/>
        <v/>
      </c>
    </row>
    <row r="42" spans="2:17" hidden="1" x14ac:dyDescent="0.15">
      <c r="B42" s="202">
        <f>支払い明細!$E$1</f>
        <v>46042</v>
      </c>
      <c r="C42" t="s">
        <v>175</v>
      </c>
      <c r="D42" t="str">
        <f>IF(IFERROR(VLOOKUP(支払い明細!B43,変換MAP!A:B,2,FALSE),"")=0,"",IFERROR(VLOOKUP(支払い明細!B43,変換MAP!A:B,2,FALSE),""))</f>
        <v/>
      </c>
      <c r="G42" t="s">
        <v>176</v>
      </c>
      <c r="I42" s="201">
        <f>支払い明細!C43</f>
        <v>0</v>
      </c>
      <c r="J42" t="s">
        <v>177</v>
      </c>
      <c r="N42" t="s">
        <v>176</v>
      </c>
      <c r="P42" s="201">
        <f t="shared" si="0"/>
        <v>0</v>
      </c>
      <c r="Q42" t="str">
        <f t="shared" si="1"/>
        <v/>
      </c>
    </row>
    <row r="43" spans="2:17" hidden="1" x14ac:dyDescent="0.15">
      <c r="B43" s="202">
        <f>支払い明細!$E$1</f>
        <v>46042</v>
      </c>
      <c r="C43" t="s">
        <v>175</v>
      </c>
      <c r="D43" t="str">
        <f>IF(IFERROR(VLOOKUP(支払い明細!B44,変換MAP!A:B,2,FALSE),"")=0,"",IFERROR(VLOOKUP(支払い明細!B44,変換MAP!A:B,2,FALSE),""))</f>
        <v/>
      </c>
      <c r="G43" t="s">
        <v>176</v>
      </c>
      <c r="I43" s="201">
        <f>支払い明細!C44</f>
        <v>0</v>
      </c>
      <c r="J43" t="s">
        <v>177</v>
      </c>
      <c r="N43" t="s">
        <v>176</v>
      </c>
      <c r="P43" s="201">
        <f t="shared" si="0"/>
        <v>0</v>
      </c>
      <c r="Q43" t="str">
        <f t="shared" si="1"/>
        <v/>
      </c>
    </row>
    <row r="44" spans="2:17" hidden="1" x14ac:dyDescent="0.15">
      <c r="B44" s="202">
        <f>支払い明細!$E$1</f>
        <v>46042</v>
      </c>
      <c r="C44" t="s">
        <v>175</v>
      </c>
      <c r="D44" t="str">
        <f>IF(IFERROR(VLOOKUP(支払い明細!B45,変換MAP!A:B,2,FALSE),"")=0,"",IFERROR(VLOOKUP(支払い明細!B45,変換MAP!A:B,2,FALSE),""))</f>
        <v/>
      </c>
      <c r="G44" t="s">
        <v>176</v>
      </c>
      <c r="I44" s="201">
        <f>支払い明細!C45</f>
        <v>0</v>
      </c>
      <c r="J44" t="s">
        <v>177</v>
      </c>
      <c r="N44" t="s">
        <v>176</v>
      </c>
      <c r="P44" s="201">
        <f t="shared" si="0"/>
        <v>0</v>
      </c>
      <c r="Q44" t="str">
        <f t="shared" si="1"/>
        <v/>
      </c>
    </row>
    <row r="45" spans="2:17" x14ac:dyDescent="0.15">
      <c r="B45" s="202">
        <f>支払い明細!$E$1</f>
        <v>46042</v>
      </c>
      <c r="C45" t="s">
        <v>175</v>
      </c>
      <c r="D45" t="str">
        <f>IF(IFERROR(VLOOKUP(支払い明細!B46,変換MAP!A:B,2,FALSE),"")=0,"",IFERROR(VLOOKUP(支払い明細!B46,変換MAP!A:B,2,FALSE),""))</f>
        <v>（株）ハラプレックス</v>
      </c>
      <c r="G45" t="s">
        <v>176</v>
      </c>
      <c r="I45" s="201">
        <f>支払い明細!C46</f>
        <v>60500</v>
      </c>
      <c r="J45" t="s">
        <v>177</v>
      </c>
      <c r="N45" t="s">
        <v>176</v>
      </c>
      <c r="P45" s="201">
        <f t="shared" si="0"/>
        <v>60500</v>
      </c>
      <c r="Q45" t="str">
        <f t="shared" si="1"/>
        <v>（株）ハラプレックス</v>
      </c>
    </row>
    <row r="46" spans="2:17" hidden="1" x14ac:dyDescent="0.15">
      <c r="B46" s="202">
        <f>支払い明細!$E$1</f>
        <v>46042</v>
      </c>
      <c r="C46" t="s">
        <v>175</v>
      </c>
      <c r="D46" t="str">
        <f>IF(IFERROR(VLOOKUP(支払い明細!B47,変換MAP!A:B,2,FALSE),"")=0,"",IFERROR(VLOOKUP(支払い明細!B47,変換MAP!A:B,2,FALSE),""))</f>
        <v/>
      </c>
      <c r="G46" t="s">
        <v>176</v>
      </c>
      <c r="I46" s="201">
        <f>支払い明細!C47</f>
        <v>0</v>
      </c>
      <c r="J46" t="s">
        <v>177</v>
      </c>
      <c r="N46" t="s">
        <v>176</v>
      </c>
      <c r="P46" s="201">
        <f t="shared" si="0"/>
        <v>0</v>
      </c>
      <c r="Q46" t="str">
        <f t="shared" si="1"/>
        <v/>
      </c>
    </row>
    <row r="47" spans="2:17" hidden="1" x14ac:dyDescent="0.15">
      <c r="B47" s="202">
        <f>支払い明細!$E$1</f>
        <v>46042</v>
      </c>
      <c r="C47" t="s">
        <v>175</v>
      </c>
      <c r="D47" t="str">
        <f>IF(IFERROR(VLOOKUP(支払い明細!B48,変換MAP!A:B,2,FALSE),"")=0,"",IFERROR(VLOOKUP(支払い明細!B48,変換MAP!A:B,2,FALSE),""))</f>
        <v/>
      </c>
      <c r="G47" t="s">
        <v>176</v>
      </c>
      <c r="I47" s="201">
        <f>支払い明細!C48</f>
        <v>0</v>
      </c>
      <c r="J47" t="s">
        <v>177</v>
      </c>
      <c r="N47" t="s">
        <v>176</v>
      </c>
      <c r="P47" s="201">
        <f t="shared" si="0"/>
        <v>0</v>
      </c>
      <c r="Q47" t="str">
        <f t="shared" si="1"/>
        <v/>
      </c>
    </row>
    <row r="48" spans="2:17" hidden="1" x14ac:dyDescent="0.15">
      <c r="B48" s="202">
        <f>支払い明細!$E$1</f>
        <v>46042</v>
      </c>
      <c r="C48" t="s">
        <v>175</v>
      </c>
      <c r="D48" t="str">
        <f>IF(IFERROR(VLOOKUP(支払い明細!B49,変換MAP!A:B,2,FALSE),"")=0,"",IFERROR(VLOOKUP(支払い明細!B49,変換MAP!A:B,2,FALSE),""))</f>
        <v/>
      </c>
      <c r="G48" t="s">
        <v>176</v>
      </c>
      <c r="I48" s="201">
        <f>支払い明細!C49</f>
        <v>0</v>
      </c>
      <c r="J48" t="s">
        <v>177</v>
      </c>
      <c r="N48" t="s">
        <v>176</v>
      </c>
      <c r="P48" s="201">
        <f t="shared" si="0"/>
        <v>0</v>
      </c>
      <c r="Q48" t="str">
        <f t="shared" si="1"/>
        <v/>
      </c>
    </row>
    <row r="49" spans="2:18" hidden="1" x14ac:dyDescent="0.15">
      <c r="B49" s="202">
        <f>支払い明細!$E$1</f>
        <v>46042</v>
      </c>
      <c r="C49" t="s">
        <v>175</v>
      </c>
      <c r="D49" t="str">
        <f>IF(IFERROR(VLOOKUP(支払い明細!B50,変換MAP!A:B,2,FALSE),"")=0,"",IFERROR(VLOOKUP(支払い明細!B50,変換MAP!A:B,2,FALSE),""))</f>
        <v/>
      </c>
      <c r="G49" t="s">
        <v>176</v>
      </c>
      <c r="I49" s="201">
        <f>支払い明細!C50</f>
        <v>0</v>
      </c>
      <c r="J49" t="s">
        <v>177</v>
      </c>
      <c r="N49" t="s">
        <v>176</v>
      </c>
      <c r="P49" s="201">
        <f t="shared" si="0"/>
        <v>0</v>
      </c>
    </row>
    <row r="50" spans="2:18" hidden="1" x14ac:dyDescent="0.15">
      <c r="B50" s="202">
        <f>支払い明細!$E$1</f>
        <v>46042</v>
      </c>
      <c r="C50" t="s">
        <v>175</v>
      </c>
      <c r="D50" t="str">
        <f>IF(IFERROR(VLOOKUP(支払い明細!B51,変換MAP!A:B,2,FALSE),"")=0,"",IFERROR(VLOOKUP(支払い明細!B51,変換MAP!A:B,2,FALSE),""))</f>
        <v/>
      </c>
      <c r="G50" t="s">
        <v>176</v>
      </c>
      <c r="I50" s="201">
        <f>支払い明細!C51</f>
        <v>0</v>
      </c>
      <c r="J50" t="s">
        <v>177</v>
      </c>
      <c r="N50" t="s">
        <v>176</v>
      </c>
      <c r="P50" s="201">
        <f t="shared" si="0"/>
        <v>0</v>
      </c>
    </row>
    <row r="51" spans="2:18" hidden="1" x14ac:dyDescent="0.15">
      <c r="B51" s="202">
        <f>支払い明細!$E$1</f>
        <v>46042</v>
      </c>
      <c r="C51" t="s">
        <v>175</v>
      </c>
      <c r="D51" t="str">
        <f>IF(IFERROR(VLOOKUP(支払い明細!B52,変換MAP!A:B,2,FALSE),"")=0,"",IFERROR(VLOOKUP(支払い明細!B52,変換MAP!A:B,2,FALSE),""))</f>
        <v/>
      </c>
      <c r="G51" t="s">
        <v>176</v>
      </c>
      <c r="I51" s="201">
        <f>支払い明細!C52</f>
        <v>0</v>
      </c>
      <c r="J51" t="s">
        <v>177</v>
      </c>
      <c r="N51" t="s">
        <v>176</v>
      </c>
      <c r="P51" s="201">
        <f t="shared" si="0"/>
        <v>0</v>
      </c>
    </row>
    <row r="52" spans="2:18" x14ac:dyDescent="0.15">
      <c r="B52" s="202">
        <f>支払い明細!$E$1</f>
        <v>46042</v>
      </c>
      <c r="C52" t="s">
        <v>175</v>
      </c>
      <c r="D52" t="str">
        <f>IF(IFERROR(VLOOKUP(支払い明細!B53,変換MAP!A:B,2,FALSE),"")=0,"",IFERROR(VLOOKUP(支払い明細!B53,変換MAP!A:B,2,FALSE),""))</f>
        <v>ホリアキ（株）</v>
      </c>
      <c r="G52" t="s">
        <v>176</v>
      </c>
      <c r="I52" s="201">
        <f>支払い明細!C53</f>
        <v>109560</v>
      </c>
      <c r="J52" t="s">
        <v>177</v>
      </c>
      <c r="N52" t="s">
        <v>176</v>
      </c>
      <c r="P52" s="201">
        <f t="shared" si="0"/>
        <v>109560</v>
      </c>
      <c r="Q52" t="str">
        <f t="shared" ref="Q52:Q55" si="2">D52</f>
        <v>ホリアキ（株）</v>
      </c>
    </row>
    <row r="53" spans="2:18" hidden="1" x14ac:dyDescent="0.15">
      <c r="B53" s="202">
        <f>支払い明細!$E$1</f>
        <v>46042</v>
      </c>
      <c r="C53" t="s">
        <v>175</v>
      </c>
      <c r="D53" t="str">
        <f>IF(IFERROR(VLOOKUP(支払い明細!B54,変換MAP!A:B,2,FALSE),"")=0,"",IFERROR(VLOOKUP(支払い明細!B54,変換MAP!A:B,2,FALSE),""))</f>
        <v>信越ファインテック（株）</v>
      </c>
      <c r="G53" t="s">
        <v>176</v>
      </c>
      <c r="I53" s="201">
        <f>支払い明細!C54</f>
        <v>0</v>
      </c>
      <c r="J53" t="s">
        <v>177</v>
      </c>
      <c r="N53" t="s">
        <v>176</v>
      </c>
      <c r="P53" s="201">
        <f t="shared" si="0"/>
        <v>0</v>
      </c>
      <c r="Q53" t="str">
        <f t="shared" si="2"/>
        <v>信越ファインテック（株）</v>
      </c>
    </row>
    <row r="54" spans="2:18" hidden="1" x14ac:dyDescent="0.15">
      <c r="B54" s="202">
        <f>支払い明細!$E$1</f>
        <v>46042</v>
      </c>
      <c r="C54" t="s">
        <v>175</v>
      </c>
      <c r="D54" t="str">
        <f>IF(IFERROR(VLOOKUP(支払い明細!B55,変換MAP!A:B,2,FALSE),"")=0,"",IFERROR(VLOOKUP(支払い明細!B55,変換MAP!A:B,2,FALSE),""))</f>
        <v>（株）丸三</v>
      </c>
      <c r="G54" t="s">
        <v>176</v>
      </c>
      <c r="I54" s="201">
        <f>支払い明細!C55</f>
        <v>0</v>
      </c>
      <c r="J54" t="s">
        <v>177</v>
      </c>
      <c r="N54" t="s">
        <v>176</v>
      </c>
      <c r="P54" s="201">
        <f t="shared" si="0"/>
        <v>0</v>
      </c>
      <c r="Q54" t="str">
        <f t="shared" si="2"/>
        <v>（株）丸三</v>
      </c>
    </row>
    <row r="55" spans="2:18" x14ac:dyDescent="0.15">
      <c r="B55" s="202">
        <f>支払い明細!$E$1</f>
        <v>46042</v>
      </c>
      <c r="C55" t="s">
        <v>175</v>
      </c>
      <c r="D55" t="str">
        <f>IF(IFERROR(VLOOKUP(支払い明細!B56,変換MAP!A:B,2,FALSE),"")=0,"",IFERROR(VLOOKUP(支払い明細!B56,変換MAP!A:B,2,FALSE),""))</f>
        <v>森川（株）</v>
      </c>
      <c r="G55" t="s">
        <v>176</v>
      </c>
      <c r="I55" s="201">
        <f>支払い明細!C56</f>
        <v>444602</v>
      </c>
      <c r="J55" t="s">
        <v>177</v>
      </c>
      <c r="N55" t="s">
        <v>176</v>
      </c>
      <c r="P55" s="201">
        <f t="shared" si="0"/>
        <v>444602</v>
      </c>
      <c r="Q55" t="str">
        <f t="shared" si="2"/>
        <v>森川（株）</v>
      </c>
    </row>
    <row r="56" spans="2:18" hidden="1" x14ac:dyDescent="0.15">
      <c r="B56" s="202">
        <f>支払い明細!$E$1</f>
        <v>46042</v>
      </c>
      <c r="C56" t="s">
        <v>175</v>
      </c>
      <c r="D56" t="str">
        <f>IF(IFERROR(VLOOKUP(支払い明細!B57,変換MAP!A:B,2,FALSE),"")=0,"",IFERROR(VLOOKUP(支払い明細!B57,変換MAP!A:B,2,FALSE),""))</f>
        <v/>
      </c>
      <c r="G56" t="s">
        <v>176</v>
      </c>
      <c r="I56" s="201">
        <f>支払い明細!C57</f>
        <v>0</v>
      </c>
      <c r="J56" t="s">
        <v>177</v>
      </c>
      <c r="N56" t="s">
        <v>176</v>
      </c>
      <c r="P56" s="201">
        <f t="shared" si="0"/>
        <v>0</v>
      </c>
    </row>
    <row r="57" spans="2:18" hidden="1" x14ac:dyDescent="0.15">
      <c r="B57" s="202">
        <f>支払い明細!$E$1</f>
        <v>46042</v>
      </c>
      <c r="C57" t="s">
        <v>175</v>
      </c>
      <c r="D57" t="str">
        <f>IF(IFERROR(VLOOKUP(支払い明細!B58,変換MAP!A:B,2,FALSE),"")=0,"",IFERROR(VLOOKUP(支払い明細!B58,変換MAP!A:B,2,FALSE),""))</f>
        <v/>
      </c>
      <c r="G57" t="s">
        <v>176</v>
      </c>
      <c r="I57" s="201">
        <f>支払い明細!C58</f>
        <v>0</v>
      </c>
      <c r="J57" t="s">
        <v>177</v>
      </c>
      <c r="N57" t="s">
        <v>176</v>
      </c>
      <c r="P57" s="201">
        <f t="shared" si="0"/>
        <v>0</v>
      </c>
    </row>
    <row r="58" spans="2:18" hidden="1" x14ac:dyDescent="0.15">
      <c r="B58" s="202">
        <f>支払い明細!$E$1</f>
        <v>46042</v>
      </c>
      <c r="C58" t="s">
        <v>175</v>
      </c>
      <c r="D58" t="str">
        <f>IF(IFERROR(VLOOKUP(支払い明細!B59,変換MAP!A:B,2,FALSE),"")=0,"",IFERROR(VLOOKUP(支払い明細!B59,変換MAP!A:B,2,FALSE),""))</f>
        <v>（株）よし与工房</v>
      </c>
      <c r="G58" t="s">
        <v>176</v>
      </c>
      <c r="I58" s="201">
        <f>支払い明細!C59</f>
        <v>0</v>
      </c>
      <c r="J58" t="s">
        <v>177</v>
      </c>
      <c r="N58" t="s">
        <v>176</v>
      </c>
      <c r="P58" s="201">
        <f t="shared" si="0"/>
        <v>0</v>
      </c>
      <c r="Q58" t="str">
        <f t="shared" ref="Q58" si="3">D58</f>
        <v>（株）よし与工房</v>
      </c>
    </row>
    <row r="59" spans="2:18" s="203" customFormat="1" x14ac:dyDescent="0.15">
      <c r="B59" s="204">
        <f>支払い明細!$E$1</f>
        <v>46042</v>
      </c>
      <c r="D59" s="203" t="str">
        <f>IF(IFERROR(VLOOKUP(支払い明細!B60,変換MAP!A:B,2,FALSE),"")=0,"",IFERROR(VLOOKUP(支払い明細!B60,変換MAP!A:B,2,FALSE),""))</f>
        <v/>
      </c>
      <c r="G59" s="203" t="s">
        <v>176</v>
      </c>
      <c r="I59" s="201">
        <f>支払い明細!C60</f>
        <v>12159444</v>
      </c>
      <c r="P59" s="201">
        <f t="shared" si="0"/>
        <v>12159444</v>
      </c>
      <c r="Q59" s="203" t="s">
        <v>178</v>
      </c>
    </row>
    <row r="60" spans="2:18" x14ac:dyDescent="0.15">
      <c r="B60" s="202">
        <f>支払い明細!$E$1</f>
        <v>46042</v>
      </c>
      <c r="C60" t="s">
        <v>179</v>
      </c>
      <c r="D60" t="str">
        <f>IF(IFERROR(VLOOKUP(支払い明細!B61,変換MAP!A:B,2,FALSE),"")=0,"",IFERROR(VLOOKUP(支払い明細!B61,変換MAP!A:B,2,FALSE),""))</f>
        <v/>
      </c>
      <c r="E60" t="s">
        <v>180</v>
      </c>
      <c r="G60" t="s">
        <v>181</v>
      </c>
      <c r="I60" s="201">
        <f>支払い明細!C61</f>
        <v>153087</v>
      </c>
      <c r="J60" t="s">
        <v>177</v>
      </c>
      <c r="N60" t="s">
        <v>176</v>
      </c>
      <c r="P60" s="201">
        <f t="shared" si="0"/>
        <v>153087</v>
      </c>
      <c r="Q60" t="s">
        <v>120</v>
      </c>
      <c r="R60" t="s">
        <v>121</v>
      </c>
    </row>
    <row r="61" spans="2:18" hidden="1" x14ac:dyDescent="0.15">
      <c r="B61" s="202">
        <f>支払い明細!$E$1</f>
        <v>46042</v>
      </c>
      <c r="C61" t="s">
        <v>182</v>
      </c>
      <c r="D61" t="str">
        <f>IF(IFERROR(VLOOKUP(支払い明細!B62,変換MAP!A:B,2,FALSE),"")=0,"",IFERROR(VLOOKUP(支払い明細!B62,変換MAP!A:B,2,FALSE),""))</f>
        <v/>
      </c>
      <c r="E61" t="s">
        <v>180</v>
      </c>
      <c r="G61" t="s">
        <v>181</v>
      </c>
      <c r="I61" s="201">
        <f>支払い明細!C62</f>
        <v>0</v>
      </c>
      <c r="J61" t="s">
        <v>177</v>
      </c>
      <c r="N61" t="s">
        <v>176</v>
      </c>
      <c r="P61" s="201">
        <f t="shared" si="0"/>
        <v>0</v>
      </c>
      <c r="Q61" t="s">
        <v>90</v>
      </c>
    </row>
    <row r="62" spans="2:18" x14ac:dyDescent="0.15">
      <c r="B62" s="202">
        <f>支払い明細!$E$1</f>
        <v>46042</v>
      </c>
      <c r="C62" t="s">
        <v>182</v>
      </c>
      <c r="D62" t="str">
        <f>IF(IFERROR(VLOOKUP(支払い明細!B63,変換MAP!A:B,2,FALSE),"")=0,"",IFERROR(VLOOKUP(支払い明細!B63,変換MAP!A:B,2,FALSE),""))</f>
        <v/>
      </c>
      <c r="E62" t="s">
        <v>180</v>
      </c>
      <c r="G62" t="s">
        <v>181</v>
      </c>
      <c r="I62" s="201">
        <f>支払い明細!C63</f>
        <v>203797</v>
      </c>
      <c r="J62" t="s">
        <v>177</v>
      </c>
      <c r="N62" t="s">
        <v>176</v>
      </c>
      <c r="P62" s="201">
        <f t="shared" si="0"/>
        <v>203797</v>
      </c>
      <c r="Q62" t="s">
        <v>79</v>
      </c>
      <c r="R62" t="s">
        <v>121</v>
      </c>
    </row>
    <row r="63" spans="2:18" x14ac:dyDescent="0.15">
      <c r="B63" s="202">
        <f>支払い明細!$E$1</f>
        <v>46042</v>
      </c>
      <c r="C63" t="s">
        <v>182</v>
      </c>
      <c r="D63" t="str">
        <f>IF(IFERROR(VLOOKUP(支払い明細!B64,変換MAP!A:B,2,FALSE),"")=0,"",IFERROR(VLOOKUP(支払い明細!B64,変換MAP!A:B,2,FALSE),""))</f>
        <v/>
      </c>
      <c r="G63" t="s">
        <v>181</v>
      </c>
      <c r="I63" s="201">
        <f>支払い明細!C64</f>
        <v>128931</v>
      </c>
      <c r="J63" t="s">
        <v>177</v>
      </c>
      <c r="N63" t="s">
        <v>176</v>
      </c>
      <c r="P63" s="201">
        <f t="shared" si="0"/>
        <v>128931</v>
      </c>
      <c r="Q63" t="s">
        <v>183</v>
      </c>
      <c r="R63" t="s">
        <v>121</v>
      </c>
    </row>
    <row r="64" spans="2:18" x14ac:dyDescent="0.15">
      <c r="B64" s="202">
        <f>支払い明細!$E$1</f>
        <v>46042</v>
      </c>
      <c r="C64" t="s">
        <v>184</v>
      </c>
      <c r="D64" t="str">
        <f>IF(IFERROR(VLOOKUP(支払い明細!B65,変換MAP!A:B,2,FALSE),"")=0,"",IFERROR(VLOOKUP(支払い明細!B65,変換MAP!A:B,2,FALSE),""))</f>
        <v/>
      </c>
      <c r="G64" t="s">
        <v>181</v>
      </c>
      <c r="I64" s="201">
        <f>支払い明細!C65</f>
        <v>70400</v>
      </c>
      <c r="J64" t="s">
        <v>177</v>
      </c>
      <c r="N64" t="s">
        <v>176</v>
      </c>
      <c r="P64" s="201">
        <f t="shared" si="0"/>
        <v>70400</v>
      </c>
      <c r="Q64" t="s">
        <v>74</v>
      </c>
      <c r="R64" t="s">
        <v>122</v>
      </c>
    </row>
    <row r="65" spans="2:18" x14ac:dyDescent="0.15">
      <c r="B65" s="202">
        <f>支払い明細!$E$1</f>
        <v>46042</v>
      </c>
      <c r="C65" t="s">
        <v>185</v>
      </c>
      <c r="D65" t="str">
        <f>IF(IFERROR(VLOOKUP(支払い明細!B66,変換MAP!A:B,2,FALSE),"")=0,"",IFERROR(VLOOKUP(支払い明細!B66,変換MAP!A:B,2,FALSE),""))</f>
        <v/>
      </c>
      <c r="G65" t="s">
        <v>176</v>
      </c>
      <c r="I65" s="201">
        <f>支払い明細!C66</f>
        <v>18062</v>
      </c>
      <c r="J65" t="s">
        <v>177</v>
      </c>
      <c r="N65" t="s">
        <v>176</v>
      </c>
      <c r="P65" s="201">
        <f t="shared" si="0"/>
        <v>18062</v>
      </c>
      <c r="Q65" t="s">
        <v>186</v>
      </c>
      <c r="R65" t="s">
        <v>123</v>
      </c>
    </row>
    <row r="66" spans="2:18" x14ac:dyDescent="0.15">
      <c r="B66" s="202">
        <f>支払い明細!$E$1</f>
        <v>46042</v>
      </c>
      <c r="C66" t="s">
        <v>187</v>
      </c>
      <c r="D66" t="str">
        <f>IF(IFERROR(VLOOKUP(支払い明細!B67,変換MAP!A:B,2,FALSE),"")=0,"",IFERROR(VLOOKUP(支払い明細!B67,変換MAP!A:B,2,FALSE),""))</f>
        <v/>
      </c>
      <c r="G66" t="s">
        <v>176</v>
      </c>
      <c r="I66" s="201">
        <f>支払い明細!C67</f>
        <v>540011</v>
      </c>
      <c r="J66" t="s">
        <v>177</v>
      </c>
      <c r="N66" t="s">
        <v>176</v>
      </c>
      <c r="P66" s="201">
        <f t="shared" si="0"/>
        <v>540011</v>
      </c>
      <c r="Q66" t="s">
        <v>75</v>
      </c>
      <c r="R66" t="s">
        <v>152</v>
      </c>
    </row>
    <row r="67" spans="2:18" x14ac:dyDescent="0.15">
      <c r="B67" s="202">
        <f>支払い明細!$E$1</f>
        <v>46042</v>
      </c>
      <c r="C67" t="s">
        <v>184</v>
      </c>
      <c r="D67" t="str">
        <f>IF(IFERROR(VLOOKUP(支払い明細!B68,変換MAP!A:B,2,FALSE),"")=0,"",IFERROR(VLOOKUP(支払い明細!B68,変換MAP!A:B,2,FALSE),""))</f>
        <v/>
      </c>
      <c r="G67" t="s">
        <v>181</v>
      </c>
      <c r="I67" s="201">
        <f>支払い明細!C68</f>
        <v>84810</v>
      </c>
      <c r="J67" t="s">
        <v>177</v>
      </c>
      <c r="N67" t="s">
        <v>176</v>
      </c>
      <c r="P67" s="201">
        <f t="shared" ref="P67:P88" si="4">I67</f>
        <v>84810</v>
      </c>
      <c r="Q67" t="s">
        <v>188</v>
      </c>
      <c r="R67" t="s">
        <v>122</v>
      </c>
    </row>
    <row r="68" spans="2:18" hidden="1" x14ac:dyDescent="0.15">
      <c r="B68" s="202">
        <f>支払い明細!$E$1</f>
        <v>46042</v>
      </c>
      <c r="C68" t="s">
        <v>184</v>
      </c>
      <c r="D68" t="str">
        <f>IF(IFERROR(VLOOKUP(支払い明細!B69,変換MAP!A:B,2,FALSE),"")=0,"",IFERROR(VLOOKUP(支払い明細!B69,変換MAP!A:B,2,FALSE),""))</f>
        <v/>
      </c>
      <c r="G68" t="s">
        <v>181</v>
      </c>
      <c r="I68" s="201">
        <f>支払い明細!C69</f>
        <v>0</v>
      </c>
      <c r="J68" t="s">
        <v>177</v>
      </c>
      <c r="N68" t="s">
        <v>176</v>
      </c>
      <c r="P68" s="201">
        <f t="shared" si="4"/>
        <v>0</v>
      </c>
      <c r="Q68" t="s">
        <v>110</v>
      </c>
      <c r="R68" t="s">
        <v>122</v>
      </c>
    </row>
    <row r="69" spans="2:18" hidden="1" x14ac:dyDescent="0.15">
      <c r="B69" s="202">
        <f>支払い明細!$E$1</f>
        <v>46042</v>
      </c>
      <c r="C69" t="s">
        <v>184</v>
      </c>
      <c r="D69" t="str">
        <f>IF(IFERROR(VLOOKUP(支払い明細!B70,変換MAP!A:B,2,FALSE),"")=0,"",IFERROR(VLOOKUP(支払い明細!B70,変換MAP!A:B,2,FALSE),""))</f>
        <v/>
      </c>
      <c r="G69" t="s">
        <v>181</v>
      </c>
      <c r="I69" s="201">
        <f>支払い明細!C70</f>
        <v>0</v>
      </c>
      <c r="J69" t="s">
        <v>177</v>
      </c>
      <c r="N69" t="s">
        <v>176</v>
      </c>
      <c r="P69" s="201">
        <f t="shared" si="4"/>
        <v>0</v>
      </c>
      <c r="Q69" t="s">
        <v>189</v>
      </c>
    </row>
    <row r="70" spans="2:18" hidden="1" x14ac:dyDescent="0.15">
      <c r="B70" s="202">
        <f>支払い明細!$E$1</f>
        <v>46042</v>
      </c>
      <c r="D70" t="str">
        <f>IF(IFERROR(VLOOKUP(支払い明細!B71,変換MAP!A:B,2,FALSE),"")=0,"",IFERROR(VLOOKUP(支払い明細!B71,変換MAP!A:B,2,FALSE),""))</f>
        <v/>
      </c>
      <c r="I70" s="201">
        <f>支払い明細!C71</f>
        <v>0</v>
      </c>
      <c r="P70" s="201">
        <f t="shared" si="4"/>
        <v>0</v>
      </c>
    </row>
    <row r="71" spans="2:18" s="203" customFormat="1" x14ac:dyDescent="0.15">
      <c r="B71" s="204">
        <f>支払い明細!$E$1</f>
        <v>46042</v>
      </c>
      <c r="D71" s="203" t="str">
        <f>IF(IFERROR(VLOOKUP(支払い明細!B72,変換MAP!A:B,2,FALSE),"")=0,"",IFERROR(VLOOKUP(支払い明細!B72,変換MAP!A:B,2,FALSE),""))</f>
        <v/>
      </c>
      <c r="I71" s="201">
        <f>支払い明細!C72</f>
        <v>1199098</v>
      </c>
      <c r="P71" s="201">
        <f t="shared" si="4"/>
        <v>1199098</v>
      </c>
      <c r="Q71" s="203" t="s">
        <v>190</v>
      </c>
    </row>
    <row r="72" spans="2:18" s="203" customFormat="1" x14ac:dyDescent="0.15">
      <c r="B72" s="204">
        <f>支払い明細!$E$1</f>
        <v>46042</v>
      </c>
      <c r="D72" s="203" t="str">
        <f>IF(IFERROR(VLOOKUP(支払い明細!B73,変換MAP!A:B,2,FALSE),"")=0,"",IFERROR(VLOOKUP(支払い明細!B73,変換MAP!A:B,2,FALSE),""))</f>
        <v/>
      </c>
      <c r="I72" s="201">
        <f>支払い明細!C73</f>
        <v>13358542</v>
      </c>
      <c r="P72" s="201">
        <f t="shared" si="4"/>
        <v>13358542</v>
      </c>
      <c r="Q72" s="203" t="s">
        <v>191</v>
      </c>
    </row>
    <row r="73" spans="2:18" hidden="1" x14ac:dyDescent="0.15">
      <c r="B73" s="202">
        <f>支払い明細!$E$1</f>
        <v>46042</v>
      </c>
      <c r="D73" t="str">
        <f>IF(IFERROR(VLOOKUP(支払い明細!B74,変換MAP!A:B,2,FALSE),"")=0,"",IFERROR(VLOOKUP(支払い明細!B74,変換MAP!A:B,2,FALSE),""))</f>
        <v/>
      </c>
      <c r="I73" s="201">
        <f>支払い明細!C74</f>
        <v>0</v>
      </c>
      <c r="P73" s="201">
        <f t="shared" si="4"/>
        <v>0</v>
      </c>
    </row>
    <row r="74" spans="2:18" hidden="1" x14ac:dyDescent="0.15">
      <c r="B74" s="202">
        <f>支払い明細!$E$1</f>
        <v>46042</v>
      </c>
      <c r="D74" t="str">
        <f>IF(IFERROR(VLOOKUP(支払い明細!B75,変換MAP!A:B,2,FALSE),"")=0,"",IFERROR(VLOOKUP(支払い明細!B75,変換MAP!A:B,2,FALSE),""))</f>
        <v/>
      </c>
      <c r="I74" s="201">
        <f>支払い明細!C75</f>
        <v>0</v>
      </c>
      <c r="P74" s="201">
        <f t="shared" si="4"/>
        <v>0</v>
      </c>
    </row>
    <row r="75" spans="2:18" hidden="1" x14ac:dyDescent="0.15">
      <c r="B75" s="202">
        <f>支払い明細!$E$1</f>
        <v>46042</v>
      </c>
      <c r="D75" t="str">
        <f>IF(IFERROR(VLOOKUP(支払い明細!B76,変換MAP!A:B,2,FALSE),"")=0,"",IFERROR(VLOOKUP(支払い明細!B76,変換MAP!A:B,2,FALSE),""))</f>
        <v/>
      </c>
      <c r="I75" s="201">
        <f>支払い明細!C76</f>
        <v>0</v>
      </c>
      <c r="P75" s="201">
        <f t="shared" si="4"/>
        <v>0</v>
      </c>
    </row>
    <row r="76" spans="2:18" s="203" customFormat="1" x14ac:dyDescent="0.15">
      <c r="B76" s="204">
        <f>支払い明細!$E$1</f>
        <v>46042</v>
      </c>
      <c r="D76" s="203" t="str">
        <f>IF(IFERROR(VLOOKUP(支払い明細!B77,変換MAP!A:B,2,FALSE),"")=0,"",IFERROR(VLOOKUP(支払い明細!B77,変換MAP!A:B,2,FALSE),""))</f>
        <v/>
      </c>
      <c r="I76" s="201">
        <f>支払い明細!C77</f>
        <v>46042</v>
      </c>
      <c r="P76" s="201">
        <f t="shared" si="4"/>
        <v>46042</v>
      </c>
      <c r="Q76" s="203" t="s">
        <v>192</v>
      </c>
    </row>
    <row r="77" spans="2:18" s="203" customFormat="1" x14ac:dyDescent="0.15">
      <c r="B77" s="204">
        <f>支払い明細!$E$1</f>
        <v>46042</v>
      </c>
      <c r="D77" s="203" t="str">
        <f>IF(IFERROR(VLOOKUP(支払い明細!B78,変換MAP!A:B,2,FALSE),"")=0,"",IFERROR(VLOOKUP(支払い明細!B78,変換MAP!A:B,2,FALSE),""))</f>
        <v/>
      </c>
      <c r="I77" s="201" t="str">
        <f>支払い明細!C78</f>
        <v>請求額</v>
      </c>
      <c r="P77" s="201" t="str">
        <f t="shared" si="4"/>
        <v>請求額</v>
      </c>
    </row>
    <row r="78" spans="2:18" x14ac:dyDescent="0.15">
      <c r="B78" s="202">
        <f>支払い明細!$E$1</f>
        <v>46042</v>
      </c>
      <c r="C78" t="s">
        <v>184</v>
      </c>
      <c r="D78" t="str">
        <f>IF(IFERROR(VLOOKUP(支払い明細!B79,変換MAP!A:B,2,FALSE),"")=0,"",IFERROR(VLOOKUP(支払い明細!B79,変換MAP!A:B,2,FALSE),""))</f>
        <v/>
      </c>
      <c r="G78" t="s">
        <v>181</v>
      </c>
      <c r="I78" s="201">
        <f>支払い明細!C79</f>
        <v>11715</v>
      </c>
      <c r="J78" t="s">
        <v>177</v>
      </c>
      <c r="N78" t="s">
        <v>176</v>
      </c>
      <c r="P78" s="201">
        <f t="shared" si="4"/>
        <v>11715</v>
      </c>
      <c r="Q78" t="s">
        <v>193</v>
      </c>
    </row>
    <row r="79" spans="2:18" x14ac:dyDescent="0.15">
      <c r="B79" s="202">
        <f>支払い明細!$E$1</f>
        <v>46042</v>
      </c>
      <c r="C79" t="s">
        <v>184</v>
      </c>
      <c r="D79" t="str">
        <f>IF(IFERROR(VLOOKUP(支払い明細!B80,変換MAP!A:B,2,FALSE),"")=0,"",IFERROR(VLOOKUP(支払い明細!B80,変換MAP!A:B,2,FALSE),""))</f>
        <v/>
      </c>
      <c r="G79" t="s">
        <v>181</v>
      </c>
      <c r="I79" s="201">
        <f>支払い明細!C80</f>
        <v>118426</v>
      </c>
      <c r="J79" t="s">
        <v>177</v>
      </c>
      <c r="N79" t="s">
        <v>176</v>
      </c>
      <c r="P79" s="201">
        <f t="shared" si="4"/>
        <v>118426</v>
      </c>
      <c r="Q79" t="s">
        <v>194</v>
      </c>
    </row>
    <row r="80" spans="2:18" hidden="1" x14ac:dyDescent="0.15">
      <c r="B80" s="202">
        <f>支払い明細!$E$1</f>
        <v>46042</v>
      </c>
      <c r="C80" t="s">
        <v>184</v>
      </c>
      <c r="D80" t="str">
        <f>IF(IFERROR(VLOOKUP(支払い明細!B81,変換MAP!A:B,2,FALSE),"")=0,"",IFERROR(VLOOKUP(支払い明細!B81,変換MAP!A:B,2,FALSE),""))</f>
        <v/>
      </c>
      <c r="G80" t="s">
        <v>181</v>
      </c>
      <c r="I80" s="201">
        <f>支払い明細!C81</f>
        <v>0</v>
      </c>
      <c r="J80" t="s">
        <v>177</v>
      </c>
      <c r="N80" t="s">
        <v>176</v>
      </c>
      <c r="P80" s="201">
        <f t="shared" si="4"/>
        <v>0</v>
      </c>
      <c r="Q80" t="s">
        <v>195</v>
      </c>
    </row>
    <row r="81" spans="2:17" x14ac:dyDescent="0.15">
      <c r="B81" s="202">
        <f>支払い明細!$E$1</f>
        <v>46042</v>
      </c>
      <c r="C81" t="s">
        <v>184</v>
      </c>
      <c r="D81" t="str">
        <f>IF(IFERROR(VLOOKUP(支払い明細!B82,変換MAP!A:B,2,FALSE),"")=0,"",IFERROR(VLOOKUP(支払い明細!B82,変換MAP!A:B,2,FALSE),""))</f>
        <v/>
      </c>
      <c r="G81" t="s">
        <v>181</v>
      </c>
      <c r="I81" s="201">
        <f>支払い明細!C82</f>
        <v>17820</v>
      </c>
      <c r="J81" t="s">
        <v>177</v>
      </c>
      <c r="N81" t="s">
        <v>176</v>
      </c>
      <c r="P81" s="201">
        <f t="shared" si="4"/>
        <v>17820</v>
      </c>
      <c r="Q81" t="s">
        <v>94</v>
      </c>
    </row>
    <row r="82" spans="2:17" x14ac:dyDescent="0.15">
      <c r="B82" s="202">
        <f>支払い明細!$E$1</f>
        <v>46042</v>
      </c>
      <c r="C82" t="s">
        <v>184</v>
      </c>
      <c r="D82" t="str">
        <f>IF(IFERROR(VLOOKUP(支払い明細!B83,変換MAP!A:B,2,FALSE),"")=0,"",IFERROR(VLOOKUP(支払い明細!B83,変換MAP!A:B,2,FALSE),""))</f>
        <v>（株）太幸</v>
      </c>
      <c r="G82" t="s">
        <v>181</v>
      </c>
      <c r="I82" s="201">
        <f>支払い明細!C83</f>
        <v>13915</v>
      </c>
      <c r="J82" t="s">
        <v>177</v>
      </c>
      <c r="N82" t="s">
        <v>176</v>
      </c>
      <c r="P82" s="201">
        <f t="shared" si="4"/>
        <v>13915</v>
      </c>
      <c r="Q82" t="s">
        <v>58</v>
      </c>
    </row>
    <row r="83" spans="2:17" hidden="1" x14ac:dyDescent="0.15">
      <c r="B83" s="202">
        <f>支払い明細!$E$1</f>
        <v>46042</v>
      </c>
      <c r="C83" t="s">
        <v>184</v>
      </c>
      <c r="D83" t="str">
        <f>IF(IFERROR(VLOOKUP(支払い明細!B84,変換MAP!A:B,2,FALSE),"")=0,"",IFERROR(VLOOKUP(支払い明細!B84,変換MAP!A:B,2,FALSE),""))</f>
        <v/>
      </c>
      <c r="G83" t="s">
        <v>181</v>
      </c>
      <c r="I83" s="201">
        <f>支払い明細!C84</f>
        <v>0</v>
      </c>
      <c r="J83" t="s">
        <v>177</v>
      </c>
      <c r="N83" t="s">
        <v>176</v>
      </c>
      <c r="P83" s="201">
        <f t="shared" si="4"/>
        <v>0</v>
      </c>
      <c r="Q83" t="s">
        <v>196</v>
      </c>
    </row>
    <row r="84" spans="2:17" hidden="1" x14ac:dyDescent="0.15">
      <c r="B84" s="202">
        <f>支払い明細!$E$1</f>
        <v>46042</v>
      </c>
      <c r="C84" t="s">
        <v>184</v>
      </c>
      <c r="D84" t="str">
        <f>IF(IFERROR(VLOOKUP(支払い明細!B85,変換MAP!A:B,2,FALSE),"")=0,"",IFERROR(VLOOKUP(支払い明細!B85,変換MAP!A:B,2,FALSE),""))</f>
        <v/>
      </c>
      <c r="G84" t="s">
        <v>181</v>
      </c>
      <c r="I84" s="201">
        <f>支払い明細!C85</f>
        <v>0</v>
      </c>
      <c r="J84" t="s">
        <v>177</v>
      </c>
      <c r="N84" t="s">
        <v>176</v>
      </c>
      <c r="P84" s="201">
        <f t="shared" si="4"/>
        <v>0</v>
      </c>
      <c r="Q84" t="s">
        <v>149</v>
      </c>
    </row>
    <row r="85" spans="2:17" hidden="1" x14ac:dyDescent="0.15">
      <c r="B85" s="202">
        <f>支払い明細!$E$1</f>
        <v>46042</v>
      </c>
      <c r="C85" t="s">
        <v>184</v>
      </c>
      <c r="D85" t="str">
        <f>IF(IFERROR(VLOOKUP(支払い明細!B86,変換MAP!A:B,2,FALSE),"")=0,"",IFERROR(VLOOKUP(支払い明細!B86,変換MAP!A:B,2,FALSE),""))</f>
        <v/>
      </c>
      <c r="G85" t="s">
        <v>181</v>
      </c>
      <c r="I85" s="201">
        <f>支払い明細!C86</f>
        <v>0</v>
      </c>
      <c r="J85" t="s">
        <v>177</v>
      </c>
      <c r="N85" t="s">
        <v>176</v>
      </c>
      <c r="P85" s="201">
        <f t="shared" si="4"/>
        <v>0</v>
      </c>
      <c r="Q85" t="s">
        <v>135</v>
      </c>
    </row>
    <row r="86" spans="2:17" s="206" customFormat="1" x14ac:dyDescent="0.15">
      <c r="B86" s="205">
        <f>支払い明細!$E$1</f>
        <v>46042</v>
      </c>
      <c r="D86" s="206" t="str">
        <f>IF(IFERROR(VLOOKUP(支払い明細!B87,変換MAP!A:B,2,FALSE),"")=0,"",IFERROR(VLOOKUP(支払い明細!B87,変換MAP!A:B,2,FALSE),""))</f>
        <v/>
      </c>
      <c r="I86" s="201">
        <f>支払い明細!C87</f>
        <v>161876</v>
      </c>
      <c r="P86" s="201">
        <f t="shared" si="4"/>
        <v>161876</v>
      </c>
      <c r="Q86" s="206" t="s">
        <v>197</v>
      </c>
    </row>
    <row r="87" spans="2:17" x14ac:dyDescent="0.15">
      <c r="B87" s="202">
        <f>支払い明細!$E$1</f>
        <v>46042</v>
      </c>
      <c r="C87" t="s">
        <v>198</v>
      </c>
      <c r="D87" t="str">
        <f>IF(IFERROR(VLOOKUP(支払い明細!B88,変換MAP!A:B,2,FALSE),"")=0,"",IFERROR(VLOOKUP(支払い明細!B88,変換MAP!A:B,2,FALSE),""))</f>
        <v/>
      </c>
      <c r="G87" t="s">
        <v>176</v>
      </c>
      <c r="I87" s="201">
        <f>支払い明細!F73</f>
        <v>20350</v>
      </c>
      <c r="J87" t="s">
        <v>199</v>
      </c>
      <c r="L87" t="s">
        <v>180</v>
      </c>
      <c r="N87" t="s">
        <v>200</v>
      </c>
      <c r="P87" s="201">
        <f t="shared" si="4"/>
        <v>20350</v>
      </c>
      <c r="Q87" t="s">
        <v>201</v>
      </c>
    </row>
    <row r="88" spans="2:17" x14ac:dyDescent="0.15">
      <c r="B88" s="202">
        <f>支払い明細!$E$1</f>
        <v>46042</v>
      </c>
      <c r="C88" t="s">
        <v>198</v>
      </c>
      <c r="G88" t="s">
        <v>176</v>
      </c>
      <c r="I88" s="201">
        <f>支払い明細!H73</f>
        <v>60836</v>
      </c>
      <c r="J88" t="s">
        <v>202</v>
      </c>
      <c r="L88" t="s">
        <v>180</v>
      </c>
      <c r="N88" t="s">
        <v>203</v>
      </c>
      <c r="P88" s="201">
        <f t="shared" si="4"/>
        <v>60836</v>
      </c>
      <c r="Q88" t="s">
        <v>204</v>
      </c>
    </row>
  </sheetData>
  <autoFilter ref="A1:S88" xr:uid="{9BB7036E-4238-498D-A864-3CE9603CDFC5}">
    <filterColumn colId="8">
      <filters>
        <filter val="109560"/>
        <filter val="11715"/>
        <filter val="118426"/>
        <filter val="1199098"/>
        <filter val="12159444"/>
        <filter val="128931"/>
        <filter val="13358542"/>
        <filter val="134866"/>
        <filter val="13915"/>
        <filter val="1429592"/>
        <filter val="153087"/>
        <filter val="158928"/>
        <filter val="161876"/>
        <filter val="1621191"/>
        <filter val="17820"/>
        <filter val="18062"/>
        <filter val="18700"/>
        <filter val="20350"/>
        <filter val="203797"/>
        <filter val="209301"/>
        <filter val="3572250"/>
        <filter val="395263"/>
        <filter val="425282"/>
        <filter val="444602"/>
        <filter val="447755"/>
        <filter val="46042"/>
        <filter val="47905"/>
        <filter val="503986"/>
        <filter val="513289"/>
        <filter val="540011"/>
        <filter val="559416"/>
        <filter val="568370"/>
        <filter val="60500"/>
        <filter val="60836"/>
        <filter val="67650"/>
        <filter val="70400"/>
        <filter val="74228"/>
        <filter val="796810"/>
        <filter val="84810"/>
        <filter val="請求額"/>
      </filters>
    </filterColumn>
  </autoFilter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DF45-B4BF-4710-9ECA-A30525FD92D2}">
  <dimension ref="A1:B56"/>
  <sheetViews>
    <sheetView tabSelected="1" topLeftCell="A13" workbookViewId="0">
      <selection activeCell="E88" sqref="E88"/>
    </sheetView>
  </sheetViews>
  <sheetFormatPr defaultRowHeight="13.5" x14ac:dyDescent="0.15"/>
  <cols>
    <col min="1" max="1" width="20.375" bestFit="1" customWidth="1"/>
    <col min="2" max="2" width="20.625" bestFit="1" customWidth="1"/>
  </cols>
  <sheetData>
    <row r="1" spans="1:2" x14ac:dyDescent="0.15">
      <c r="A1" t="s">
        <v>205</v>
      </c>
      <c r="B1" t="s">
        <v>206</v>
      </c>
    </row>
    <row r="2" spans="1:2" x14ac:dyDescent="0.15">
      <c r="A2" t="s">
        <v>207</v>
      </c>
      <c r="B2" t="s">
        <v>208</v>
      </c>
    </row>
    <row r="3" spans="1:2" x14ac:dyDescent="0.15">
      <c r="A3" t="s">
        <v>116</v>
      </c>
      <c r="B3" t="s">
        <v>209</v>
      </c>
    </row>
    <row r="4" spans="1:2" x14ac:dyDescent="0.15">
      <c r="A4" t="s">
        <v>91</v>
      </c>
      <c r="B4" t="s">
        <v>210</v>
      </c>
    </row>
    <row r="5" spans="1:2" x14ac:dyDescent="0.15">
      <c r="A5" t="s">
        <v>211</v>
      </c>
      <c r="B5" t="s">
        <v>212</v>
      </c>
    </row>
    <row r="6" spans="1:2" x14ac:dyDescent="0.15">
      <c r="A6" t="s">
        <v>213</v>
      </c>
      <c r="B6" t="s">
        <v>214</v>
      </c>
    </row>
    <row r="7" spans="1:2" x14ac:dyDescent="0.15">
      <c r="A7" t="s">
        <v>52</v>
      </c>
      <c r="B7" t="s">
        <v>215</v>
      </c>
    </row>
    <row r="8" spans="1:2" x14ac:dyDescent="0.15">
      <c r="A8" t="s">
        <v>216</v>
      </c>
      <c r="B8" t="s">
        <v>217</v>
      </c>
    </row>
    <row r="9" spans="1:2" x14ac:dyDescent="0.15">
      <c r="A9" t="s">
        <v>85</v>
      </c>
      <c r="B9" t="s">
        <v>218</v>
      </c>
    </row>
    <row r="10" spans="1:2" x14ac:dyDescent="0.15">
      <c r="A10" t="s">
        <v>34</v>
      </c>
    </row>
    <row r="11" spans="1:2" x14ac:dyDescent="0.15">
      <c r="A11" t="s">
        <v>39</v>
      </c>
    </row>
    <row r="12" spans="1:2" x14ac:dyDescent="0.15">
      <c r="A12" t="s">
        <v>219</v>
      </c>
    </row>
    <row r="13" spans="1:2" x14ac:dyDescent="0.15">
      <c r="A13" t="s">
        <v>144</v>
      </c>
      <c r="B13" t="s">
        <v>220</v>
      </c>
    </row>
    <row r="14" spans="1:2" x14ac:dyDescent="0.15">
      <c r="A14" t="s">
        <v>77</v>
      </c>
      <c r="B14" t="s">
        <v>221</v>
      </c>
    </row>
    <row r="15" spans="1:2" x14ac:dyDescent="0.15">
      <c r="A15" t="s">
        <v>129</v>
      </c>
      <c r="B15" t="s">
        <v>222</v>
      </c>
    </row>
    <row r="16" spans="1:2" x14ac:dyDescent="0.15">
      <c r="A16" t="s">
        <v>223</v>
      </c>
      <c r="B16" t="s">
        <v>224</v>
      </c>
    </row>
    <row r="17" spans="1:2" x14ac:dyDescent="0.15">
      <c r="A17" t="s">
        <v>225</v>
      </c>
      <c r="B17" t="s">
        <v>226</v>
      </c>
    </row>
    <row r="18" spans="1:2" x14ac:dyDescent="0.15">
      <c r="A18" t="s">
        <v>105</v>
      </c>
      <c r="B18" t="s">
        <v>227</v>
      </c>
    </row>
    <row r="19" spans="1:2" x14ac:dyDescent="0.15">
      <c r="A19" t="s">
        <v>228</v>
      </c>
    </row>
    <row r="20" spans="1:2" x14ac:dyDescent="0.15">
      <c r="A20" t="s">
        <v>53</v>
      </c>
      <c r="B20" t="s">
        <v>229</v>
      </c>
    </row>
    <row r="21" spans="1:2" x14ac:dyDescent="0.15">
      <c r="A21" t="s">
        <v>100</v>
      </c>
      <c r="B21" t="s">
        <v>230</v>
      </c>
    </row>
    <row r="22" spans="1:2" x14ac:dyDescent="0.15">
      <c r="A22" t="s">
        <v>99</v>
      </c>
      <c r="B22" t="s">
        <v>231</v>
      </c>
    </row>
    <row r="23" spans="1:2" x14ac:dyDescent="0.15">
      <c r="A23" t="s">
        <v>98</v>
      </c>
    </row>
    <row r="24" spans="1:2" x14ac:dyDescent="0.15">
      <c r="A24" t="s">
        <v>232</v>
      </c>
    </row>
    <row r="25" spans="1:2" x14ac:dyDescent="0.15">
      <c r="A25" t="s">
        <v>56</v>
      </c>
    </row>
    <row r="26" spans="1:2" x14ac:dyDescent="0.15">
      <c r="A26" t="s">
        <v>97</v>
      </c>
    </row>
    <row r="27" spans="1:2" x14ac:dyDescent="0.15">
      <c r="A27" t="s">
        <v>233</v>
      </c>
      <c r="B27" t="s">
        <v>234</v>
      </c>
    </row>
    <row r="28" spans="1:2" x14ac:dyDescent="0.15">
      <c r="A28" t="s">
        <v>58</v>
      </c>
      <c r="B28" t="s">
        <v>252</v>
      </c>
    </row>
    <row r="29" spans="1:2" x14ac:dyDescent="0.15">
      <c r="A29" t="s">
        <v>11</v>
      </c>
      <c r="B29" t="s">
        <v>235</v>
      </c>
    </row>
    <row r="30" spans="1:2" x14ac:dyDescent="0.15">
      <c r="A30" t="s">
        <v>236</v>
      </c>
      <c r="B30" t="s">
        <v>251</v>
      </c>
    </row>
    <row r="31" spans="1:2" x14ac:dyDescent="0.15">
      <c r="A31" t="s">
        <v>237</v>
      </c>
    </row>
    <row r="32" spans="1:2" x14ac:dyDescent="0.15">
      <c r="A32" t="s">
        <v>108</v>
      </c>
    </row>
    <row r="33" spans="1:2" x14ac:dyDescent="0.15">
      <c r="A33" t="s">
        <v>107</v>
      </c>
      <c r="B33" t="s">
        <v>253</v>
      </c>
    </row>
    <row r="34" spans="1:2" x14ac:dyDescent="0.15">
      <c r="A34" t="s">
        <v>106</v>
      </c>
    </row>
    <row r="35" spans="1:2" x14ac:dyDescent="0.15">
      <c r="A35" t="s">
        <v>60</v>
      </c>
    </row>
    <row r="36" spans="1:2" x14ac:dyDescent="0.15">
      <c r="A36" t="s">
        <v>137</v>
      </c>
      <c r="B36" t="s">
        <v>238</v>
      </c>
    </row>
    <row r="37" spans="1:2" x14ac:dyDescent="0.15">
      <c r="A37" t="s">
        <v>28</v>
      </c>
      <c r="B37" t="s">
        <v>239</v>
      </c>
    </row>
    <row r="38" spans="1:2" x14ac:dyDescent="0.15">
      <c r="A38" t="s">
        <v>50</v>
      </c>
    </row>
    <row r="39" spans="1:2" x14ac:dyDescent="0.15">
      <c r="A39" t="s">
        <v>240</v>
      </c>
    </row>
    <row r="40" spans="1:2" x14ac:dyDescent="0.15">
      <c r="A40" t="s">
        <v>94</v>
      </c>
    </row>
    <row r="41" spans="1:2" x14ac:dyDescent="0.15">
      <c r="A41" t="s">
        <v>61</v>
      </c>
    </row>
    <row r="42" spans="1:2" x14ac:dyDescent="0.15">
      <c r="A42" t="s">
        <v>62</v>
      </c>
    </row>
    <row r="43" spans="1:2" x14ac:dyDescent="0.15">
      <c r="A43" t="s">
        <v>63</v>
      </c>
      <c r="B43" t="s">
        <v>241</v>
      </c>
    </row>
    <row r="44" spans="1:2" x14ac:dyDescent="0.15">
      <c r="A44" t="s">
        <v>65</v>
      </c>
    </row>
    <row r="45" spans="1:2" x14ac:dyDescent="0.15">
      <c r="A45" t="s">
        <v>242</v>
      </c>
    </row>
    <row r="46" spans="1:2" x14ac:dyDescent="0.15">
      <c r="A46" t="s">
        <v>66</v>
      </c>
    </row>
    <row r="47" spans="1:2" x14ac:dyDescent="0.15">
      <c r="A47" t="s">
        <v>243</v>
      </c>
    </row>
    <row r="48" spans="1:2" x14ac:dyDescent="0.15">
      <c r="A48" t="s">
        <v>68</v>
      </c>
    </row>
    <row r="49" spans="1:2" x14ac:dyDescent="0.15">
      <c r="A49" t="s">
        <v>244</v>
      </c>
    </row>
    <row r="50" spans="1:2" x14ac:dyDescent="0.15">
      <c r="A50" t="s">
        <v>29</v>
      </c>
      <c r="B50" t="s">
        <v>245</v>
      </c>
    </row>
    <row r="51" spans="1:2" x14ac:dyDescent="0.15">
      <c r="A51" t="s">
        <v>246</v>
      </c>
      <c r="B51" t="s">
        <v>247</v>
      </c>
    </row>
    <row r="52" spans="1:2" x14ac:dyDescent="0.15">
      <c r="A52" t="s">
        <v>109</v>
      </c>
      <c r="B52" t="s">
        <v>248</v>
      </c>
    </row>
    <row r="53" spans="1:2" x14ac:dyDescent="0.15">
      <c r="A53" t="s">
        <v>96</v>
      </c>
      <c r="B53" t="s">
        <v>249</v>
      </c>
    </row>
    <row r="54" spans="1:2" x14ac:dyDescent="0.15">
      <c r="A54" t="s">
        <v>95</v>
      </c>
    </row>
    <row r="55" spans="1:2" x14ac:dyDescent="0.15">
      <c r="A55" t="s">
        <v>196</v>
      </c>
    </row>
    <row r="56" spans="1:2" x14ac:dyDescent="0.15">
      <c r="A56" t="s">
        <v>71</v>
      </c>
      <c r="B56" t="s">
        <v>250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支払い明細</vt:lpstr>
      <vt:lpstr>中川製袋</vt:lpstr>
      <vt:lpstr>福通運賃明細</vt:lpstr>
      <vt:lpstr>MF変換</vt:lpstr>
      <vt:lpstr>変換MAP</vt:lpstr>
      <vt:lpstr>支払い明細!Print_Area</vt:lpstr>
      <vt:lpstr>中川製袋!Print_Area</vt:lpstr>
      <vt:lpstr>福通運賃明細!Print_Area</vt:lpstr>
      <vt:lpstr>支払い明細!Print_Titles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odamitu</dc:creator>
  <cp:lastModifiedBy>一輝 小田</cp:lastModifiedBy>
  <cp:lastPrinted>2026-01-12T00:17:12Z</cp:lastPrinted>
  <dcterms:created xsi:type="dcterms:W3CDTF">2007-02-12T00:59:33Z</dcterms:created>
  <dcterms:modified xsi:type="dcterms:W3CDTF">2026-03-05T02:49:58Z</dcterms:modified>
</cp:coreProperties>
</file>