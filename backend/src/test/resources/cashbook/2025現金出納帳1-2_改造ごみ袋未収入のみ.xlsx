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13_ncr:1_{6CE5E45B-CA3B-4EC8-8B3E-2158A75A6D82}" xr6:coauthVersionLast="47" xr6:coauthVersionMax="47" xr10:uidLastSave="{00000000-0000-0000-0000-000000000000}"/>
  <bookViews>
    <workbookView xWindow="28680" yWindow="-120" windowWidth="29040" windowHeight="15720" tabRatio="568" xr2:uid="{00000000-000D-0000-FFFF-FFFF00000000}"/>
  </bookViews>
  <sheets>
    <sheet name="記入" sheetId="1" r:id="rId1"/>
    <sheet name="MFインポート" sheetId="4" r:id="rId2"/>
  </sheets>
  <definedNames>
    <definedName name="_xlnm._FilterDatabase" localSheetId="0" hidden="1">記入!$A$1:$M$14</definedName>
    <definedName name="_xlnm.Print_Area" localSheetId="0">記入!$A$1:$M$8</definedName>
  </definedNames>
  <calcPr calcId="191029"/>
</workbook>
</file>

<file path=xl/calcChain.xml><?xml version="1.0" encoding="utf-8"?>
<calcChain xmlns="http://schemas.openxmlformats.org/spreadsheetml/2006/main">
  <c r="E13" i="1" l="1"/>
  <c r="H13" i="1" l="1"/>
  <c r="K13" i="1" s="1"/>
</calcChain>
</file>

<file path=xl/sharedStrings.xml><?xml version="1.0" encoding="utf-8"?>
<sst xmlns="http://schemas.openxmlformats.org/spreadsheetml/2006/main" count="73" uniqueCount="53">
  <si>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</si>
  <si>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</si>
  <si>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</si>
  <si>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摘　　　要</t>
    <rPh sb="0" eb="1">
      <t>テキ</t>
    </rPh>
    <rPh sb="4" eb="5">
      <t>ヨウ</t>
    </rPh>
    <phoneticPr fontId="1"/>
  </si>
  <si>
    <t>収入金額</t>
    <rPh sb="0" eb="2">
      <t>シュウニュウ</t>
    </rPh>
    <rPh sb="2" eb="4">
      <t>キンガク</t>
    </rPh>
    <phoneticPr fontId="1"/>
  </si>
  <si>
    <t>支払金額</t>
    <rPh sb="0" eb="2">
      <t>シハラ</t>
    </rPh>
    <rPh sb="2" eb="4">
      <t>キンガク</t>
    </rPh>
    <phoneticPr fontId="1"/>
  </si>
  <si>
    <t>差引残高</t>
    <rPh sb="0" eb="1">
      <t>サ</t>
    </rPh>
    <rPh sb="1" eb="2">
      <t>ヒ</t>
    </rPh>
    <rPh sb="2" eb="4">
      <t>ザンダカ</t>
    </rPh>
    <phoneticPr fontId="1"/>
  </si>
  <si>
    <t>大竹ｲﾝﾀｰ店</t>
    <rPh sb="0" eb="2">
      <t>オオタケ</t>
    </rPh>
    <rPh sb="6" eb="7">
      <t>テン</t>
    </rPh>
    <phoneticPr fontId="1"/>
  </si>
  <si>
    <t>大竹御園店</t>
    <rPh sb="0" eb="2">
      <t>オオタケ</t>
    </rPh>
    <rPh sb="2" eb="4">
      <t>ミソノ</t>
    </rPh>
    <rPh sb="4" eb="5">
      <t>テン</t>
    </rPh>
    <phoneticPr fontId="1"/>
  </si>
  <si>
    <t>大竹立戸店</t>
    <rPh sb="0" eb="2">
      <t>オオタケ</t>
    </rPh>
    <rPh sb="2" eb="3">
      <t>タツ</t>
    </rPh>
    <rPh sb="3" eb="4">
      <t>ト</t>
    </rPh>
    <rPh sb="4" eb="5">
      <t>テン</t>
    </rPh>
    <phoneticPr fontId="1"/>
  </si>
  <si>
    <t>㈲さかもと家電</t>
    <rPh sb="5" eb="7">
      <t>カデン</t>
    </rPh>
    <phoneticPr fontId="1"/>
  </si>
  <si>
    <t>セブンイレブン</t>
    <phoneticPr fontId="1"/>
  </si>
  <si>
    <t>㈱コメリ パワー大竹店</t>
    <rPh sb="8" eb="11">
      <t>オオタケテン</t>
    </rPh>
    <phoneticPr fontId="1"/>
  </si>
  <si>
    <t>ｺﾞﾐ袋未収金</t>
  </si>
  <si>
    <t>割烹 宇恵喜</t>
  </si>
  <si>
    <t>錦 病院</t>
  </si>
  <si>
    <t>㈱ カキダ</t>
  </si>
  <si>
    <t>㈱ ぬまご</t>
  </si>
  <si>
    <t>取引No</t>
  </si>
  <si>
    <t>取引日</t>
  </si>
  <si>
    <t>借方部門</t>
  </si>
  <si>
    <t>借方取引先</t>
  </si>
  <si>
    <t>借方インボイス</t>
  </si>
  <si>
    <t>貸方部門</t>
  </si>
  <si>
    <t>貸方取引先</t>
  </si>
  <si>
    <t>貸方インボイス</t>
  </si>
  <si>
    <t>摘要</t>
  </si>
  <si>
    <t>タグ</t>
  </si>
  <si>
    <t>メモ</t>
  </si>
  <si>
    <t>現金</t>
  </si>
  <si>
    <t>小口現金</t>
  </si>
  <si>
    <t>対象外</t>
  </si>
  <si>
    <t>売掛金</t>
  </si>
  <si>
    <t>上様</t>
  </si>
  <si>
    <t>仕入高</t>
  </si>
  <si>
    <t>課税仕入 10%</t>
  </si>
  <si>
    <t>借方勘定科目</t>
    <phoneticPr fontId="1"/>
  </si>
  <si>
    <t>借方税区分</t>
    <phoneticPr fontId="1"/>
  </si>
  <si>
    <t>借方補助科目</t>
    <phoneticPr fontId="1"/>
  </si>
  <si>
    <t>貸方勘定科目</t>
    <phoneticPr fontId="1"/>
  </si>
  <si>
    <t>貸方税区分</t>
    <phoneticPr fontId="1"/>
  </si>
  <si>
    <t>対象外</t>
    <phoneticPr fontId="1"/>
  </si>
  <si>
    <t>現金→普通預金入金　預金袋</t>
    <phoneticPr fontId="1"/>
  </si>
  <si>
    <t>借方金額(円)</t>
    <phoneticPr fontId="1"/>
  </si>
  <si>
    <t>貸方金額(円)</t>
    <phoneticPr fontId="1"/>
  </si>
  <si>
    <t>貸方補助科目</t>
    <phoneticPr fontId="1"/>
  </si>
  <si>
    <t>割烹  宇恵喜</t>
    <phoneticPr fontId="1"/>
  </si>
  <si>
    <t>(岩国) 医療法人　錦病院</t>
    <phoneticPr fontId="1"/>
  </si>
  <si>
    <t>売上高</t>
    <phoneticPr fontId="1"/>
  </si>
  <si>
    <t>物販売上高</t>
    <phoneticPr fontId="1"/>
  </si>
  <si>
    <t>課税売上 10%</t>
    <phoneticPr fontId="1"/>
  </si>
  <si>
    <t>仕入高</t>
    <phoneticPr fontId="1"/>
  </si>
  <si>
    <t>ｺﾞﾐ袋未収金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</si>
</sst>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3" fillId="0" borderId="16" xfId="0" applyFont="1" applyBorder="1" applyAlignment="1">
      <alignment horizontal="left" vertical="center"/>
    </xf>
    <xf numFmtId="0" fontId="4" fillId="0" borderId="17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0" fontId="3" fillId="2" borderId="18" xfId="0" applyFont="1" applyFill="1" applyBorder="1">
      <alignment vertical="center"/>
    </xf>
    <xf numFmtId="0" fontId="3" fillId="2" borderId="19" xfId="0" applyFont="1" applyFill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3" fontId="0" fillId="0" borderId="12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Normal="100" zoomScaleSheetLayoutView="96" workbookViewId="0">
      <selection activeCell="A2" sqref="A2"/>
    </sheetView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</cols>
  <sheetData>
    <row r="1" spans="1:13" x14ac:dyDescent="0.15">
      <c r="A1" s="24">
        <v>2025</v>
      </c>
      <c r="B1" s="7" t="s">
        <v>0</v>
      </c>
      <c r="C1" s="41" t="s">
        <v>3</v>
      </c>
      <c r="D1" s="41"/>
      <c r="E1" s="40" t="s">
        <v>4</v>
      </c>
      <c r="F1" s="41"/>
      <c r="G1" s="42"/>
      <c r="H1" s="41" t="s">
        <v>5</v>
      </c>
      <c r="I1" s="41"/>
      <c r="J1" s="41"/>
      <c r="K1" s="40" t="s">
        <v>6</v>
      </c>
      <c r="L1" s="41"/>
      <c r="M1" s="42"/>
    </row>
    <row r="2" spans="1:13" x14ac:dyDescent="0.15">
      <c r="A2" s="4" t="s">
        <v>1</v>
      </c>
      <c r="B2" s="3" t="s">
        <v>2</v>
      </c>
      <c r="C2" s="44"/>
      <c r="D2" s="44"/>
      <c r="E2" s="46"/>
      <c r="F2" s="47"/>
      <c r="G2" s="48"/>
      <c r="H2" s="44"/>
      <c r="I2" s="44"/>
      <c r="J2" s="44"/>
      <c r="K2" s="43"/>
      <c r="L2" s="44"/>
      <c r="M2" s="45"/>
    </row>
    <row r="3" spans="1:13" ht="11.25" customHeight="1" x14ac:dyDescent="0.15">
      <c r="A3" s="26">
        <v>2</v>
      </c>
      <c r="B3" s="26">
        <v>10</v>
      </c>
      <c r="C3" s="34" t="s">
        <v>52</v>
      </c>
      <c r="D3" s="23" t="s">
        <v>11</v>
      </c>
      <c r="E3" s="29">
        <v>8500</v>
      </c>
      <c r="F3" s="30"/>
      <c r="G3" s="6"/>
      <c r="H3" s="29"/>
      <c r="I3" s="30"/>
      <c r="J3" s="8"/>
      <c r="K3" s="9"/>
      <c r="L3" s="10"/>
      <c r="M3" s="11"/>
    </row>
    <row r="4" spans="1:13" ht="11.25" customHeight="1" x14ac:dyDescent="0.15">
      <c r="A4" s="27"/>
      <c r="B4" s="27"/>
      <c r="C4" s="35"/>
      <c r="D4" s="22" t="s">
        <v>9</v>
      </c>
      <c r="E4" s="31"/>
      <c r="F4" s="32"/>
      <c r="G4" s="16"/>
      <c r="H4" s="31"/>
      <c r="I4" s="32"/>
      <c r="J4" s="13"/>
      <c r="K4" s="14"/>
      <c r="L4" s="15"/>
      <c r="M4" s="16"/>
    </row>
    <row r="5" spans="1:13" ht="11.25" customHeight="1" x14ac:dyDescent="0.15">
      <c r="A5" s="26"/>
      <c r="B5" s="26"/>
      <c r="C5" s="34" t="s">
        <v>13</v>
      </c>
      <c r="D5" s="23" t="s">
        <v>11</v>
      </c>
      <c r="E5" s="29">
        <v>31000</v>
      </c>
      <c r="F5" s="30"/>
      <c r="G5" s="11"/>
      <c r="H5" s="29"/>
      <c r="I5" s="30"/>
      <c r="J5" s="8"/>
      <c r="K5" s="5"/>
      <c r="M5" s="6"/>
    </row>
    <row r="6" spans="1:13" ht="11.25" customHeight="1" x14ac:dyDescent="0.15">
      <c r="A6" s="27"/>
      <c r="B6" s="27"/>
      <c r="C6" s="35"/>
      <c r="D6" s="22" t="s">
        <v>7</v>
      </c>
      <c r="E6" s="31"/>
      <c r="F6" s="32"/>
      <c r="G6" s="16"/>
      <c r="H6" s="31"/>
      <c r="I6" s="32"/>
      <c r="J6" s="13"/>
      <c r="K6" s="5"/>
      <c r="M6" s="6"/>
    </row>
    <row r="7" spans="1:13" ht="11.25" customHeight="1" x14ac:dyDescent="0.15">
      <c r="A7" s="26"/>
      <c r="B7" s="26"/>
      <c r="C7" s="34" t="s">
        <v>13</v>
      </c>
      <c r="D7" s="23" t="s">
        <v>11</v>
      </c>
      <c r="E7" s="29">
        <v>37500</v>
      </c>
      <c r="F7" s="30"/>
      <c r="G7" s="6"/>
      <c r="H7" s="29"/>
      <c r="I7" s="30"/>
      <c r="J7" s="8"/>
      <c r="K7" s="9"/>
      <c r="L7" s="10"/>
      <c r="M7" s="11"/>
    </row>
    <row r="8" spans="1:13" ht="11.25" customHeight="1" x14ac:dyDescent="0.15">
      <c r="A8" s="27"/>
      <c r="B8" s="27"/>
      <c r="C8" s="35"/>
      <c r="D8" s="22" t="s">
        <v>8</v>
      </c>
      <c r="E8" s="31"/>
      <c r="F8" s="32"/>
      <c r="G8" s="16"/>
      <c r="H8" s="31"/>
      <c r="I8" s="32"/>
      <c r="J8" s="13"/>
      <c r="K8" s="14"/>
      <c r="L8" s="15"/>
      <c r="M8" s="16"/>
    </row>
    <row r="9" spans="1:13" ht="11.25" customHeight="1" x14ac:dyDescent="0.15">
      <c r="A9" s="26"/>
      <c r="B9" s="26">
        <v>14</v>
      </c>
      <c r="C9" s="34" t="s">
        <v>13</v>
      </c>
      <c r="D9" s="28" t="s">
        <v>10</v>
      </c>
      <c r="E9" s="29">
        <v>41000</v>
      </c>
      <c r="F9" s="30"/>
      <c r="G9" s="11"/>
      <c r="H9" s="29"/>
      <c r="I9" s="30"/>
      <c r="K9" s="5"/>
      <c r="M9" s="6"/>
    </row>
    <row r="10" spans="1:13" ht="11.25" customHeight="1" x14ac:dyDescent="0.15">
      <c r="A10" s="27"/>
      <c r="B10" s="27"/>
      <c r="C10" s="35"/>
      <c r="D10" s="33"/>
      <c r="E10" s="31"/>
      <c r="F10" s="32"/>
      <c r="G10" s="16"/>
      <c r="H10" s="31"/>
      <c r="I10" s="32"/>
      <c r="K10" s="5"/>
      <c r="M10" s="6"/>
    </row>
    <row r="11" spans="1:13" ht="11.25" customHeight="1" x14ac:dyDescent="0.15">
      <c r="A11" s="26"/>
      <c r="B11" s="26">
        <v>17</v>
      </c>
      <c r="C11" s="34" t="s">
        <v>13</v>
      </c>
      <c r="D11" s="36" t="s">
        <v>12</v>
      </c>
      <c r="E11" s="29">
        <v>287500</v>
      </c>
      <c r="F11" s="30"/>
      <c r="G11" s="11"/>
      <c r="H11" s="29"/>
      <c r="I11" s="30"/>
      <c r="K11" s="5"/>
      <c r="M11" s="6"/>
    </row>
    <row r="12" spans="1:13" ht="11.25" customHeight="1" thickBot="1" x14ac:dyDescent="0.2">
      <c r="A12" s="27"/>
      <c r="B12" s="27"/>
      <c r="C12" s="35"/>
      <c r="D12" s="37"/>
      <c r="E12" s="31"/>
      <c r="F12" s="32"/>
      <c r="G12" s="16"/>
      <c r="H12" s="31"/>
      <c r="I12" s="32"/>
      <c r="K12" s="5"/>
      <c r="M12" s="6"/>
    </row>
    <row r="13" spans="1:13" ht="15.75" customHeight="1" thickTop="1" x14ac:dyDescent="0.15">
      <c r="A13" s="18"/>
      <c r="B13" s="19"/>
      <c r="C13" s="20"/>
      <c r="D13" s="20"/>
      <c r="E13" s="38">
        <f>SUM(E3:F12)</f>
        <v>405500</v>
      </c>
      <c r="F13" s="39"/>
      <c r="G13" s="21"/>
      <c r="H13" s="38">
        <f>SUM(H3:I12)</f>
        <v>0</v>
      </c>
      <c r="I13" s="39"/>
      <c r="J13" s="20"/>
      <c r="K13" s="38">
        <f>E13-H13</f>
        <v>405500</v>
      </c>
      <c r="L13" s="39"/>
      <c r="M13" s="21"/>
    </row>
    <row r="14" spans="1:13" x14ac:dyDescent="0.15">
      <c r="A14" s="17"/>
      <c r="B14" s="12"/>
      <c r="C14" s="13"/>
      <c r="D14" s="13"/>
      <c r="E14" s="31"/>
      <c r="F14" s="32"/>
      <c r="G14" s="16"/>
      <c r="H14" s="31"/>
      <c r="I14" s="32"/>
      <c r="J14" s="13"/>
      <c r="K14" s="31"/>
      <c r="L14" s="32"/>
      <c r="M14" s="16"/>
    </row>
    <row r="15" spans="1:13" x14ac:dyDescent="0.15">
      <c r="E15" s="2"/>
      <c r="H15" s="2"/>
      <c r="K15" s="2"/>
    </row>
  </sheetData>
  <autoFilter ref="A1:M14" xr:uid="{00000000-0001-0000-0000-000000000000}">
    <filterColumn colId="2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</autoFilter>
  <mergeCells count="34">
    <mergeCell ref="K13:L14"/>
    <mergeCell ref="H13:I14"/>
    <mergeCell ref="A3:A4"/>
    <mergeCell ref="A11:A12"/>
    <mergeCell ref="H11:I12"/>
    <mergeCell ref="H9:I10"/>
    <mergeCell ref="D9:D10"/>
    <mergeCell ref="K1:M2"/>
    <mergeCell ref="C1:D2"/>
    <mergeCell ref="E1:G2"/>
    <mergeCell ref="H1:J2"/>
    <mergeCell ref="H3:I4"/>
    <mergeCell ref="A9:A10"/>
    <mergeCell ref="E13:F14"/>
    <mergeCell ref="C9:C10"/>
    <mergeCell ref="E11:F12"/>
    <mergeCell ref="B9:B10"/>
    <mergeCell ref="E9:F10"/>
    <mergeCell ref="C11:C12"/>
    <mergeCell ref="B11:B12"/>
    <mergeCell ref="D11:D12"/>
    <mergeCell ref="C3:C4"/>
    <mergeCell ref="B3:B4"/>
    <mergeCell ref="E3:F4"/>
    <mergeCell ref="C5:C6"/>
    <mergeCell ref="C7:C8"/>
    <mergeCell ref="B5:B6"/>
    <mergeCell ref="A5:A6"/>
    <mergeCell ref="B7:B8"/>
    <mergeCell ref="A7:A8"/>
    <mergeCell ref="E5:F6"/>
    <mergeCell ref="E7:F8"/>
    <mergeCell ref="H7:I8"/>
    <mergeCell ref="H5:I6"/>
  </mergeCells>
  <phoneticPr fontId="1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1/21～ 2/20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1C80-2995-4508-AF18-4F2517416143}">
  <dimension ref="A1:S7"/>
  <sheetViews>
    <sheetView workbookViewId="0"/>
  </sheetViews>
  <sheetFormatPr defaultRowHeight="13.5" x14ac:dyDescent="0.15"/>
  <cols>
    <col min="1" max="1" width="7.5" bestFit="1" customWidth="1"/>
    <col min="2" max="2" width="10.5" bestFit="1" customWidth="1"/>
    <col min="3" max="4" width="13" bestFit="1" customWidth="1"/>
    <col min="6" max="6" width="11" bestFit="1" customWidth="1"/>
    <col min="7" max="7" width="12.875" bestFit="1" customWidth="1"/>
    <col min="8" max="8" width="13.75" bestFit="1" customWidth="1"/>
    <col min="9" max="9" width="12.375" bestFit="1" customWidth="1"/>
    <col min="10" max="10" width="13" bestFit="1" customWidth="1"/>
    <col min="11" max="11" width="22.75" bestFit="1" customWidth="1"/>
    <col min="13" max="13" width="11" bestFit="1" customWidth="1"/>
    <col min="14" max="14" width="12.875" bestFit="1" customWidth="1"/>
    <col min="15" max="15" width="13.75" bestFit="1" customWidth="1"/>
    <col min="16" max="16" width="12.375" bestFit="1" customWidth="1"/>
    <col min="17" max="17" width="26.875" bestFit="1" customWidth="1"/>
    <col min="18" max="18" width="4.625" bestFit="1" customWidth="1"/>
    <col min="19" max="19" width="4.5" bestFit="1" customWidth="1"/>
  </cols>
  <sheetData>
    <row r="1" spans="1:19" x14ac:dyDescent="0.15">
      <c r="A1" t="s">
        <v>18</v>
      </c>
      <c r="B1" t="s">
        <v>19</v>
      </c>
      <c r="C1" t="s">
        <v>36</v>
      </c>
      <c r="D1" t="s">
        <v>38</v>
      </c>
      <c r="E1" t="s">
        <v>20</v>
      </c>
      <c r="F1" t="s">
        <v>21</v>
      </c>
      <c r="G1" t="s">
        <v>37</v>
      </c>
      <c r="H1" t="s">
        <v>22</v>
      </c>
      <c r="I1" t="s">
        <v>43</v>
      </c>
      <c r="J1" t="s">
        <v>39</v>
      </c>
      <c r="K1" t="s">
        <v>45</v>
      </c>
      <c r="L1" t="s">
        <v>23</v>
      </c>
      <c r="M1" t="s">
        <v>24</v>
      </c>
      <c r="N1" t="s">
        <v>40</v>
      </c>
      <c r="O1" t="s">
        <v>25</v>
      </c>
      <c r="P1" t="s">
        <v>44</v>
      </c>
      <c r="Q1" t="s">
        <v>26</v>
      </c>
      <c r="R1" t="s">
        <v>27</v>
      </c>
      <c r="S1" t="s">
        <v>28</v>
      </c>
    </row>
    <row r="2" spans="1:19" x14ac:dyDescent="0.15">
      <c r="A2">
        <v>8522</v>
      </c>
      <c r="B2" s="25">
        <v>45678</v>
      </c>
      <c r="C2" t="s">
        <v>29</v>
      </c>
      <c r="G2" t="s">
        <v>31</v>
      </c>
      <c r="I2">
        <v>3366</v>
      </c>
      <c r="J2" t="s">
        <v>32</v>
      </c>
      <c r="K2" t="s">
        <v>46</v>
      </c>
      <c r="N2" t="s">
        <v>31</v>
      </c>
      <c r="P2">
        <v>3366</v>
      </c>
      <c r="Q2" t="s">
        <v>14</v>
      </c>
    </row>
    <row r="3" spans="1:19" x14ac:dyDescent="0.15">
      <c r="A3">
        <v>8523</v>
      </c>
      <c r="B3" s="25">
        <v>45678</v>
      </c>
      <c r="C3" t="s">
        <v>29</v>
      </c>
      <c r="G3" t="s">
        <v>31</v>
      </c>
      <c r="I3">
        <v>23100</v>
      </c>
      <c r="J3" t="s">
        <v>32</v>
      </c>
      <c r="K3" t="s">
        <v>47</v>
      </c>
      <c r="N3" t="s">
        <v>31</v>
      </c>
      <c r="P3">
        <v>23100</v>
      </c>
      <c r="Q3" t="s">
        <v>15</v>
      </c>
    </row>
    <row r="4" spans="1:19" x14ac:dyDescent="0.15">
      <c r="A4">
        <v>8524</v>
      </c>
      <c r="B4" s="25">
        <v>45678</v>
      </c>
      <c r="C4" t="s">
        <v>29</v>
      </c>
      <c r="D4" t="s">
        <v>30</v>
      </c>
      <c r="G4" t="s">
        <v>31</v>
      </c>
      <c r="I4">
        <v>26466</v>
      </c>
      <c r="J4" t="s">
        <v>29</v>
      </c>
      <c r="N4" t="s">
        <v>41</v>
      </c>
      <c r="P4">
        <v>26466</v>
      </c>
      <c r="Q4" t="s">
        <v>42</v>
      </c>
    </row>
    <row r="5" spans="1:19" x14ac:dyDescent="0.15">
      <c r="A5">
        <v>8525</v>
      </c>
      <c r="B5" s="25">
        <v>45679</v>
      </c>
      <c r="C5" t="s">
        <v>29</v>
      </c>
      <c r="G5" t="s">
        <v>31</v>
      </c>
      <c r="I5">
        <v>150</v>
      </c>
      <c r="J5" t="s">
        <v>48</v>
      </c>
      <c r="K5" t="s">
        <v>49</v>
      </c>
      <c r="N5" t="s">
        <v>50</v>
      </c>
      <c r="P5">
        <v>150</v>
      </c>
      <c r="Q5" t="s">
        <v>33</v>
      </c>
    </row>
    <row r="6" spans="1:19" x14ac:dyDescent="0.15">
      <c r="A6">
        <v>8527</v>
      </c>
      <c r="B6" s="25">
        <v>45679</v>
      </c>
      <c r="C6" t="s">
        <v>51</v>
      </c>
      <c r="G6" t="s">
        <v>35</v>
      </c>
      <c r="I6">
        <v>1760</v>
      </c>
      <c r="J6" t="s">
        <v>29</v>
      </c>
      <c r="N6" t="s">
        <v>31</v>
      </c>
      <c r="P6">
        <v>1760</v>
      </c>
      <c r="Q6" t="s">
        <v>17</v>
      </c>
    </row>
    <row r="7" spans="1:19" x14ac:dyDescent="0.15">
      <c r="A7">
        <v>8526</v>
      </c>
      <c r="B7" s="25">
        <v>45679</v>
      </c>
      <c r="C7" t="s">
        <v>34</v>
      </c>
      <c r="G7" t="s">
        <v>35</v>
      </c>
      <c r="I7">
        <v>15928</v>
      </c>
      <c r="J7" t="s">
        <v>29</v>
      </c>
      <c r="N7" t="s">
        <v>31</v>
      </c>
      <c r="P7">
        <v>15928</v>
      </c>
      <c r="Q7" t="s">
        <v>16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記入</vt:lpstr>
      <vt:lpstr>MFインポート</vt:lpstr>
      <vt:lpstr>記入!Print_Area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2025-02-20T09:00:55Z</cp:lastPrinted>
  <dcterms:created xsi:type="dcterms:W3CDTF">2006-03-21T09:41:34Z</dcterms:created>
  <dcterms:modified xsi:type="dcterms:W3CDTF">2025-04-28T14:57:44Z</dcterms:modified>
</cp:coreProperties>
</file>