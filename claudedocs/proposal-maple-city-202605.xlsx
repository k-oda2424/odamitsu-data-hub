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提案見積書" sheetId="1" state="visible" r:id="rId1"/>
  </sheets>
  <definedNames>
    <definedName name="_xlnm.Print_Area" localSheetId="0">'提案見積書'!$A$1:$F$72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円&quot;"/>
    <numFmt numFmtId="165" formatCode="0.0%"/>
  </numFmts>
  <fonts count="15">
    <font>
      <name val="Calibri"/>
      <family val="2"/>
      <color theme="1"/>
      <sz val="11"/>
      <scheme val="minor"/>
    </font>
    <font>
      <name val="游ゴシック"/>
      <b val="1"/>
      <color rgb="002F5496"/>
      <sz val="10"/>
    </font>
    <font>
      <name val="游ゴシック"/>
      <b val="1"/>
      <color rgb="00CC0000"/>
      <sz val="14"/>
    </font>
    <font>
      <name val="游ゴシック"/>
      <sz val="9"/>
    </font>
    <font>
      <name val="游ゴシック"/>
      <color rgb="00666666"/>
      <sz val="8"/>
    </font>
    <font>
      <name val="游ゴシック"/>
      <b val="1"/>
      <color rgb="00888888"/>
      <sz val="8"/>
    </font>
    <font>
      <name val="游ゴシック"/>
      <b val="1"/>
      <color rgb="00CC0000"/>
      <sz val="9"/>
    </font>
    <font>
      <name val="游ゴシック"/>
      <b val="1"/>
      <sz val="16"/>
    </font>
    <font>
      <name val="游ゴシック"/>
      <b val="1"/>
      <sz val="9"/>
    </font>
    <font>
      <name val="游ゴシック"/>
      <b val="1"/>
      <color rgb="00FFFFFF"/>
      <sz val="9"/>
    </font>
    <font>
      <name val="游ゴシック"/>
      <b val="1"/>
      <sz val="10"/>
    </font>
    <font>
      <name val="游ゴシック"/>
      <color rgb="00888888"/>
      <sz val="8"/>
    </font>
    <font>
      <name val="游ゴシック"/>
      <b val="1"/>
      <color rgb="00D94600"/>
      <sz val="9"/>
    </font>
    <font>
      <name val="游ゴシック"/>
      <b val="1"/>
      <color rgb="000066CC"/>
      <sz val="9"/>
    </font>
    <font>
      <name val="游ゴシック"/>
      <b val="1"/>
      <sz val="11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496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B4C6E7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CC0000"/>
      </left>
      <right style="medium">
        <color rgb="00CC0000"/>
      </right>
      <top style="medium">
        <color rgb="00CC0000"/>
      </top>
      <bottom style="medium">
        <color rgb="00CC0000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CC0000"/>
      </left>
      <right style="thin">
        <color rgb="00CC0000"/>
      </right>
      <top style="thin">
        <color rgb="00CC0000"/>
      </top>
      <bottom style="thin">
        <color rgb="00CC0000"/>
      </bottom>
    </border>
    <border>
      <left style="thin">
        <color rgb="00CCCCCC"/>
      </left>
      <right style="thin">
        <color rgb="00CCCCCC"/>
      </right>
      <top style="double">
        <color rgb="002F5496"/>
      </top>
      <bottom style="double">
        <color rgb="002F5496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right" vertical="center"/>
    </xf>
    <xf numFmtId="9" fontId="2" fillId="2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4" fontId="8" fillId="2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9" fontId="6" fillId="2" borderId="7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4" fontId="13" fillId="7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3" fontId="13" fillId="0" borderId="1" applyAlignment="1" pivotButton="0" quotePrefix="0" xfId="0">
      <alignment horizontal="right" vertical="center"/>
    </xf>
    <xf numFmtId="0" fontId="8" fillId="4" borderId="8" applyAlignment="1" pivotButton="0" quotePrefix="0" xfId="0">
      <alignment horizontal="center" vertical="center" wrapText="1"/>
    </xf>
    <xf numFmtId="0" fontId="8" fillId="4" borderId="8" applyAlignment="1" pivotButton="0" quotePrefix="0" xfId="0">
      <alignment horizontal="left" vertical="center" wrapText="1"/>
    </xf>
    <xf numFmtId="3" fontId="8" fillId="4" borderId="8" applyAlignment="1" pivotButton="0" quotePrefix="0" xfId="0">
      <alignment horizontal="right" vertical="center"/>
    </xf>
    <xf numFmtId="3" fontId="13" fillId="4" borderId="8" applyAlignment="1" pivotButton="0" quotePrefix="0" xfId="0">
      <alignment horizontal="right" vertical="center"/>
    </xf>
    <xf numFmtId="3" fontId="6" fillId="4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5" customWidth="1" min="4" max="4"/>
    <col width="16" customWidth="1" min="5" max="5"/>
    <col width="38" customWidth="1" min="6" max="6"/>
    <col width="2" customWidth="1" min="7" max="7"/>
    <col width="2" customWidth="1" min="8" max="8"/>
    <col width="14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メイプルシティ様 お見積書</t>
        </is>
      </c>
      <c r="I1" s="2" t="inlineStr">
        <is>
          <t>【粗利率設定】</t>
        </is>
      </c>
    </row>
    <row r="2">
      <c r="I2" s="3" t="inlineStr">
        <is>
          <t>粗利率</t>
        </is>
      </c>
      <c r="J2" s="4" t="n">
        <v>0.15</v>
      </c>
    </row>
    <row r="3">
      <c r="A3" s="5" t="inlineStr">
        <is>
          <t>日付</t>
        </is>
      </c>
      <c r="B3" s="6" t="inlineStr">
        <is>
          <t>2026年4月</t>
        </is>
      </c>
      <c r="I3" s="7" t="inlineStr"/>
      <c r="J3" s="8" t="inlineStr">
        <is>
          <t>↑ この値を変更</t>
        </is>
      </c>
    </row>
    <row r="4">
      <c r="A4" s="5" t="inlineStr">
        <is>
          <t>件名</t>
        </is>
      </c>
      <c r="B4" s="6" t="inlineStr">
        <is>
          <t>花王プロフェッショナル製品 価格改定のご案内 および 代替商品のご提案</t>
        </is>
      </c>
    </row>
    <row r="5">
      <c r="A5" s="5" t="inlineStr">
        <is>
          <t>適用</t>
        </is>
      </c>
      <c r="B5" s="6" t="inlineStr">
        <is>
          <t>2026年5月1日〜</t>
        </is>
      </c>
      <c r="I5" s="9" t="inlineStr">
        <is>
          <t>花王値上後原価</t>
        </is>
      </c>
      <c r="J5" s="9" t="inlineStr">
        <is>
          <t>代替品原価</t>
        </is>
      </c>
      <c r="K5" s="9" t="inlineStr">
        <is>
          <t>花王実粗利</t>
        </is>
      </c>
      <c r="L5" s="9" t="inlineStr">
        <is>
          <t>代替実粗利</t>
        </is>
      </c>
      <c r="M5" s="10" t="inlineStr">
        <is>
          <t>花王個別粗利</t>
        </is>
      </c>
      <c r="N5" s="10" t="inlineStr">
        <is>
          <t>代替個別粗利</t>
        </is>
      </c>
    </row>
    <row r="6">
      <c r="M6" s="11" t="inlineStr">
        <is>
          <t>※空欄=全体適用</t>
        </is>
      </c>
      <c r="N6" s="11" t="inlineStr">
        <is>
          <t>※空欄=全体適用</t>
        </is>
      </c>
    </row>
    <row r="7">
      <c r="A7" s="12" t="inlineStr">
        <is>
          <t>花王プロフェッショナルサービスより2026年5月1日出荷分より仕入価格の改定が実施されます。
あわせて、コスト削減にお役立ていただけるライオンハイジーン製品・セッツ製品もご提案いたします。</t>
        </is>
      </c>
    </row>
    <row r="8"/>
    <row r="10">
      <c r="A10" s="13" t="inlineStr">
        <is>
          <t>No</t>
        </is>
      </c>
      <c r="B10" s="13" t="inlineStr">
        <is>
          <t>商品名</t>
        </is>
      </c>
      <c r="C10" s="13" t="inlineStr">
        <is>
          <t>規格</t>
        </is>
      </c>
      <c r="D10" s="13" t="inlineStr">
        <is>
          <t>花王改定価格
（税抜）</t>
        </is>
      </c>
      <c r="E10" s="13" t="inlineStr">
        <is>
          <t>代替品 見積単価
（税抜）</t>
        </is>
      </c>
      <c r="F10" s="13" t="inlineStr">
        <is>
          <t>備考</t>
        </is>
      </c>
    </row>
    <row r="11">
      <c r="A11" s="14" t="inlineStr">
        <is>
          <t xml:space="preserve">  食器用洗剤</t>
        </is>
      </c>
      <c r="B11" s="15" t="n"/>
      <c r="C11" s="15" t="n"/>
      <c r="D11" s="15" t="n"/>
      <c r="E11" s="15" t="n"/>
      <c r="F11" s="16" t="n"/>
    </row>
    <row r="12">
      <c r="A12" s="17" t="n">
        <v>1</v>
      </c>
      <c r="B12" s="18" t="inlineStr">
        <is>
          <t>花王 ファミリーフレッシュ</t>
        </is>
      </c>
      <c r="C12" s="17" t="inlineStr">
        <is>
          <t>4.5L（原液）</t>
        </is>
      </c>
      <c r="D12" s="19">
        <f>CEILING(I12*(1+IF(M12&lt;&gt;"",M12,$J$2)),5)</f>
        <v/>
      </c>
      <c r="E12" s="17" t="inlineStr"/>
      <c r="F12" s="20" t="inlineStr">
        <is>
          <t>現行 1,400円</t>
        </is>
      </c>
      <c r="I12" s="21" t="n">
        <v>1423</v>
      </c>
      <c r="K12" s="22">
        <f>(D12-I12)/I12</f>
        <v/>
      </c>
      <c r="M12" s="23" t="n"/>
    </row>
    <row r="13">
      <c r="A13" s="24" t="inlineStr"/>
      <c r="B13" s="25" t="inlineStr">
        <is>
          <t>★ ダイバークリーンコンク【セッツ】</t>
        </is>
      </c>
      <c r="C13" s="24" t="inlineStr">
        <is>
          <t>5Kg（6倍希釈=実質30kg）</t>
        </is>
      </c>
      <c r="D13" s="24" t="inlineStr"/>
      <c r="E13" s="26">
        <f>CEILING(J13*(1+IF(N13&lt;&gt;"",N13,$J$2)),5)</f>
        <v/>
      </c>
      <c r="F13" s="27" t="inlineStr">
        <is>
          <t>6倍希釈で実質30kg分。洗浄力2.5倍。ランニングコスト約1/6</t>
        </is>
      </c>
      <c r="J13" s="21" t="n">
        <v>1650</v>
      </c>
      <c r="L13" s="22">
        <f>(E13-J13)/J13</f>
        <v/>
      </c>
      <c r="N13" s="23" t="n"/>
    </row>
    <row r="14">
      <c r="A14" s="14" t="inlineStr">
        <is>
          <t xml:space="preserve">  食器用洗剤（濃縮）</t>
        </is>
      </c>
      <c r="B14" s="15" t="n"/>
      <c r="C14" s="15" t="n"/>
      <c r="D14" s="15" t="n"/>
      <c r="E14" s="15" t="n"/>
      <c r="F14" s="16" t="n"/>
    </row>
    <row r="15">
      <c r="A15" s="17" t="n">
        <v>2</v>
      </c>
      <c r="B15" s="18" t="inlineStr">
        <is>
          <t>花王 パワーストリーム コンク</t>
        </is>
      </c>
      <c r="C15" s="17" t="inlineStr">
        <is>
          <t>5L</t>
        </is>
      </c>
      <c r="D15" s="19">
        <f>CEILING(I15*(1+IF(M15&lt;&gt;"",M15,$J$2)),5)</f>
        <v/>
      </c>
      <c r="E15" s="17" t="inlineStr"/>
      <c r="F15" s="20" t="inlineStr">
        <is>
          <t>現行 2,807円</t>
        </is>
      </c>
      <c r="I15" s="21" t="n">
        <v>2891</v>
      </c>
      <c r="K15" s="22">
        <f>(D15-I15)/I15</f>
        <v/>
      </c>
      <c r="M15" s="23" t="n"/>
    </row>
    <row r="16">
      <c r="A16" s="24" t="inlineStr"/>
      <c r="B16" s="25" t="inlineStr">
        <is>
          <t>★ セルシアコンクα【ライオン】</t>
        </is>
      </c>
      <c r="C16" s="24" t="inlineStr">
        <is>
          <t>4L</t>
        </is>
      </c>
      <c r="D16" s="24" t="inlineStr"/>
      <c r="E16" s="26">
        <f>CEILING(J16*(1+IF(N16&lt;&gt;"",N16,$J$2)),5)</f>
        <v/>
      </c>
      <c r="F16" s="27" t="inlineStr">
        <is>
          <t>同等6倍希釈濃縮タイプ</t>
        </is>
      </c>
      <c r="J16" s="21" t="n">
        <v>2120</v>
      </c>
      <c r="L16" s="22">
        <f>(E16-J16)/J16</f>
        <v/>
      </c>
      <c r="N16" s="23" t="n"/>
    </row>
    <row r="17">
      <c r="A17" s="14" t="inlineStr">
        <is>
          <t xml:space="preserve">  漂白剤</t>
        </is>
      </c>
      <c r="B17" s="15" t="n"/>
      <c r="C17" s="15" t="n"/>
      <c r="D17" s="15" t="n"/>
      <c r="E17" s="15" t="n"/>
      <c r="F17" s="16" t="n"/>
    </row>
    <row r="18">
      <c r="A18" s="17" t="n">
        <v>3</v>
      </c>
      <c r="B18" s="18" t="inlineStr">
        <is>
          <t>花王 ハイターE</t>
        </is>
      </c>
      <c r="C18" s="17" t="inlineStr">
        <is>
          <t>5Kg</t>
        </is>
      </c>
      <c r="D18" s="19">
        <f>CEILING(I18*(1+IF(M18&lt;&gt;"",M18,$J$2)),5)</f>
        <v/>
      </c>
      <c r="E18" s="17" t="inlineStr"/>
      <c r="F18" s="20" t="inlineStr">
        <is>
          <t>現行 780円</t>
        </is>
      </c>
      <c r="I18" s="21" t="n">
        <v>680</v>
      </c>
      <c r="K18" s="22">
        <f>(D18-I18)/I18</f>
        <v/>
      </c>
      <c r="M18" s="23" t="n"/>
    </row>
    <row r="19">
      <c r="A19" s="24" t="inlineStr"/>
      <c r="B19" s="25" t="inlineStr">
        <is>
          <t>★ キッチンブリーチ D-104【セッツ】</t>
        </is>
      </c>
      <c r="C19" s="24" t="inlineStr">
        <is>
          <t>5Kg</t>
        </is>
      </c>
      <c r="D19" s="24" t="inlineStr"/>
      <c r="E19" s="26">
        <f>CEILING(J19*(1+IF(N19&lt;&gt;"",N19,$J$2)),5)</f>
        <v/>
      </c>
      <c r="F19" s="27" t="inlineStr">
        <is>
          <t>同等塩素系。同規格で直接置換可</t>
        </is>
      </c>
      <c r="J19" s="21" t="n">
        <v>520</v>
      </c>
      <c r="L19" s="22">
        <f>(E19-J19)/J19</f>
        <v/>
      </c>
      <c r="N19" s="23" t="n"/>
    </row>
    <row r="20">
      <c r="A20" s="14" t="inlineStr">
        <is>
          <t xml:space="preserve">  厨房油汚れ洗剤</t>
        </is>
      </c>
      <c r="B20" s="15" t="n"/>
      <c r="C20" s="15" t="n"/>
      <c r="D20" s="15" t="n"/>
      <c r="E20" s="15" t="n"/>
      <c r="F20" s="16" t="n"/>
    </row>
    <row r="21">
      <c r="A21" s="17" t="n">
        <v>4</v>
      </c>
      <c r="B21" s="18" t="inlineStr">
        <is>
          <t>花王 パワークリーナー（パワーマジ）</t>
        </is>
      </c>
      <c r="C21" s="17" t="inlineStr">
        <is>
          <t>4.5L</t>
        </is>
      </c>
      <c r="D21" s="19">
        <f>CEILING(I21*(1+IF(M21&lt;&gt;"",M21,$J$2)),5)</f>
        <v/>
      </c>
      <c r="E21" s="17" t="inlineStr"/>
      <c r="F21" s="20" t="inlineStr">
        <is>
          <t>現行 1,880円</t>
        </is>
      </c>
      <c r="I21" s="21" t="n">
        <v>1809</v>
      </c>
      <c r="K21" s="22">
        <f>(D21-I21)/I21</f>
        <v/>
      </c>
      <c r="M21" s="23" t="n"/>
    </row>
    <row r="22">
      <c r="A22" s="24" t="inlineStr"/>
      <c r="B22" s="25" t="inlineStr">
        <is>
          <t>★ グリースサットル【ライオン】</t>
        </is>
      </c>
      <c r="C22" s="24" t="inlineStr">
        <is>
          <t>5Kg</t>
        </is>
      </c>
      <c r="D22" s="24" t="inlineStr"/>
      <c r="E22" s="26">
        <f>CEILING(J22*(1+IF(N22&lt;&gt;"",N22,$J$2)),5)</f>
        <v/>
      </c>
      <c r="F22" s="27" t="inlineStr">
        <is>
          <t>除菌+泡密着タイプ</t>
        </is>
      </c>
      <c r="J22" s="21" t="n">
        <v>1250</v>
      </c>
      <c r="L22" s="22">
        <f>(E22-J22)/J22</f>
        <v/>
      </c>
      <c r="N22" s="23" t="n"/>
    </row>
    <row r="23">
      <c r="A23" s="14" t="inlineStr">
        <is>
          <t xml:space="preserve">  洗濯用洗剤</t>
        </is>
      </c>
      <c r="B23" s="15" t="n"/>
      <c r="C23" s="15" t="n"/>
      <c r="D23" s="15" t="n"/>
      <c r="E23" s="15" t="n"/>
      <c r="F23" s="16" t="n"/>
    </row>
    <row r="24">
      <c r="A24" s="17" t="n">
        <v>5</v>
      </c>
      <c r="B24" s="18" t="inlineStr">
        <is>
          <t>花王 アタック 消臭ストロングジェル</t>
        </is>
      </c>
      <c r="C24" s="17" t="inlineStr">
        <is>
          <t>4kg</t>
        </is>
      </c>
      <c r="D24" s="19">
        <f>CEILING(I24*(1+IF(M24&lt;&gt;"",M24,$J$2)),5)</f>
        <v/>
      </c>
      <c r="E24" s="17" t="inlineStr"/>
      <c r="F24" s="20" t="inlineStr">
        <is>
          <t>現行 2,020円</t>
        </is>
      </c>
      <c r="I24" s="21" t="n">
        <v>1494</v>
      </c>
      <c r="K24" s="22">
        <f>(D24-I24)/I24</f>
        <v/>
      </c>
      <c r="M24" s="23" t="n"/>
    </row>
    <row r="25">
      <c r="A25" s="24" t="inlineStr"/>
      <c r="B25" s="25" t="inlineStr">
        <is>
          <t>★ トップクリアリキッド【ライオン】</t>
        </is>
      </c>
      <c r="C25" s="24" t="inlineStr">
        <is>
          <t>4Kg</t>
        </is>
      </c>
      <c r="D25" s="24" t="inlineStr"/>
      <c r="E25" s="26">
        <f>CEILING(J25*(1+IF(N25&lt;&gt;"",N25,$J$2)),5)</f>
        <v/>
      </c>
      <c r="F25" s="27" t="inlineStr">
        <is>
          <t>抗菌・ウイルス除去</t>
        </is>
      </c>
      <c r="J25" s="21" t="n">
        <v>1400</v>
      </c>
      <c r="L25" s="22">
        <f>(E25-J25)/J25</f>
        <v/>
      </c>
      <c r="N25" s="23" t="n"/>
    </row>
    <row r="26">
      <c r="A26" s="14" t="inlineStr">
        <is>
          <t xml:space="preserve">  手洗い石けん</t>
        </is>
      </c>
      <c r="B26" s="15" t="n"/>
      <c r="C26" s="15" t="n"/>
      <c r="D26" s="15" t="n"/>
      <c r="E26" s="15" t="n"/>
      <c r="F26" s="16" t="n"/>
    </row>
    <row r="27">
      <c r="A27" s="17" t="n">
        <v>6</v>
      </c>
      <c r="B27" s="18" t="inlineStr">
        <is>
          <t>花王 C&amp;C F1 薬用泡ハンドウォッシュ</t>
        </is>
      </c>
      <c r="C27" s="17" t="inlineStr">
        <is>
          <t>4L</t>
        </is>
      </c>
      <c r="D27" s="19">
        <f>CEILING(I27*(1+IF(M27&lt;&gt;"",M27,$J$2)),5)</f>
        <v/>
      </c>
      <c r="E27" s="17" t="inlineStr"/>
      <c r="F27" s="20" t="inlineStr">
        <is>
          <t>現行 3,600円</t>
        </is>
      </c>
      <c r="I27" s="21" t="n">
        <v>3230</v>
      </c>
      <c r="K27" s="22">
        <f>(D27-I27)/I27</f>
        <v/>
      </c>
      <c r="M27" s="23" t="n"/>
    </row>
    <row r="28">
      <c r="A28" s="24" t="inlineStr"/>
      <c r="B28" s="25" t="inlineStr">
        <is>
          <t>★ キレイキレイ薬用泡ﾊﾝﾄﾞｿｰﾌﾟ プロ無香料【ライオン】</t>
        </is>
      </c>
      <c r="C28" s="24" t="inlineStr">
        <is>
          <t>4L</t>
        </is>
      </c>
      <c r="D28" s="24" t="inlineStr"/>
      <c r="E28" s="26">
        <f>CEILING(J28*(1+IF(N28&lt;&gt;"",N28,$J$2)),5)</f>
        <v/>
      </c>
      <c r="F28" s="27" t="inlineStr">
        <is>
          <t>医薬部外品・食品施設向け無香料</t>
        </is>
      </c>
      <c r="J28" s="21" t="n">
        <v>1850</v>
      </c>
      <c r="L28" s="22">
        <f>(E28-J28)/J28</f>
        <v/>
      </c>
      <c r="N28" s="23" t="n"/>
    </row>
    <row r="29">
      <c r="A29" s="14" t="inlineStr">
        <is>
          <t xml:space="preserve">  手指消毒剤</t>
        </is>
      </c>
      <c r="B29" s="15" t="n"/>
      <c r="C29" s="15" t="n"/>
      <c r="D29" s="15" t="n"/>
      <c r="E29" s="15" t="n"/>
      <c r="F29" s="16" t="n"/>
    </row>
    <row r="30">
      <c r="A30" s="17" t="n">
        <v>7</v>
      </c>
      <c r="B30" s="18" t="inlineStr">
        <is>
          <t>花王 ハンドスキッシュEX 詰替</t>
        </is>
      </c>
      <c r="C30" s="17" t="inlineStr">
        <is>
          <t>4.5L</t>
        </is>
      </c>
      <c r="D30" s="19">
        <f>CEILING(I30*(1+IF(M30&lt;&gt;"",M30,$J$2)),5)</f>
        <v/>
      </c>
      <c r="E30" s="17" t="inlineStr"/>
      <c r="F30" s="20" t="inlineStr">
        <is>
          <t>現行 3,746円</t>
        </is>
      </c>
      <c r="I30" s="21" t="n">
        <v>2630</v>
      </c>
      <c r="K30" s="22">
        <f>(D30-I30)/I30</f>
        <v/>
      </c>
      <c r="M30" s="23" t="n"/>
    </row>
    <row r="31">
      <c r="A31" s="24" t="inlineStr"/>
      <c r="B31" s="25" t="inlineStr">
        <is>
          <t>★ サニテートAハンドミスト【ライオン】</t>
        </is>
      </c>
      <c r="C31" s="24" t="inlineStr">
        <is>
          <t>4L</t>
        </is>
      </c>
      <c r="D31" s="24" t="inlineStr"/>
      <c r="E31" s="26">
        <f>CEILING(J31*(1+IF(N31&lt;&gt;"",N31,$J$2)),5)</f>
        <v/>
      </c>
      <c r="F31" s="27" t="inlineStr">
        <is>
          <t>64vol%エタノール・非危険物</t>
        </is>
      </c>
      <c r="J31" s="21" t="n">
        <v>2150</v>
      </c>
      <c r="L31" s="22">
        <f>(E31-J31)/J31</f>
        <v/>
      </c>
      <c r="N31" s="23" t="n"/>
    </row>
    <row r="32">
      <c r="A32" s="14" t="inlineStr">
        <is>
          <t xml:space="preserve">  アルコール製剤</t>
        </is>
      </c>
      <c r="B32" s="15" t="n"/>
      <c r="C32" s="15" t="n"/>
      <c r="D32" s="15" t="n"/>
      <c r="E32" s="15" t="n"/>
      <c r="F32" s="16" t="n"/>
    </row>
    <row r="33">
      <c r="A33" s="17" t="n">
        <v>8</v>
      </c>
      <c r="B33" s="18" t="inlineStr">
        <is>
          <t>花王 スキッシュV</t>
        </is>
      </c>
      <c r="C33" s="17" t="inlineStr">
        <is>
          <t>4.5L</t>
        </is>
      </c>
      <c r="D33" s="19">
        <f>CEILING(I33*(1+IF(M33&lt;&gt;"",M33,$J$2)),5)</f>
        <v/>
      </c>
      <c r="E33" s="17" t="inlineStr"/>
      <c r="F33" s="20" t="inlineStr">
        <is>
          <t>現行 2,300円</t>
        </is>
      </c>
      <c r="I33" s="21" t="n">
        <v>2341</v>
      </c>
      <c r="K33" s="22">
        <f>(D33-I33)/I33</f>
        <v/>
      </c>
      <c r="M33" s="23" t="n"/>
    </row>
    <row r="34">
      <c r="A34" s="24" t="inlineStr"/>
      <c r="B34" s="25" t="inlineStr">
        <is>
          <t>★ ユービコールノロV【セッツ】</t>
        </is>
      </c>
      <c r="C34" s="24" t="inlineStr">
        <is>
          <t>5L</t>
        </is>
      </c>
      <c r="D34" s="24" t="inlineStr"/>
      <c r="E34" s="26">
        <f>CEILING(J34*(1+IF(N34&lt;&gt;"",N34,$J$2)),5)</f>
        <v/>
      </c>
      <c r="F34" s="27" t="inlineStr">
        <is>
          <t>ノロウイルス対応！ 軽減税率8%・容量11%増</t>
        </is>
      </c>
      <c r="J34" s="21" t="n">
        <v>1980</v>
      </c>
      <c r="L34" s="22">
        <f>(E34-J34)/J34</f>
        <v/>
      </c>
      <c r="N34" s="23" t="n"/>
    </row>
    <row r="35">
      <c r="A35" s="14" t="inlineStr">
        <is>
          <t xml:space="preserve">  アルコール製剤</t>
        </is>
      </c>
      <c r="B35" s="15" t="n"/>
      <c r="C35" s="15" t="n"/>
      <c r="D35" s="15" t="n"/>
      <c r="E35" s="15" t="n"/>
      <c r="F35" s="16" t="n"/>
    </row>
    <row r="36">
      <c r="A36" s="17" t="n">
        <v>9</v>
      </c>
      <c r="B36" s="18" t="inlineStr">
        <is>
          <t>花王 スキッシュV</t>
        </is>
      </c>
      <c r="C36" s="17" t="inlineStr">
        <is>
          <t>10L</t>
        </is>
      </c>
      <c r="D36" s="19">
        <f>CEILING(I36*(1+IF(M36&lt;&gt;"",M36,$J$2)),5)</f>
        <v/>
      </c>
      <c r="E36" s="17" t="inlineStr"/>
      <c r="F36" s="20" t="inlineStr">
        <is>
          <t>現行 4,950円</t>
        </is>
      </c>
      <c r="I36" s="21" t="n">
        <v>4960</v>
      </c>
      <c r="K36" s="22">
        <f>(D36-I36)/I36</f>
        <v/>
      </c>
      <c r="M36" s="23" t="n"/>
    </row>
    <row r="37">
      <c r="A37" s="24" t="inlineStr"/>
      <c r="B37" s="25" t="inlineStr">
        <is>
          <t>★ ユービコールノロV66【セッツ】×2本</t>
        </is>
      </c>
      <c r="C37" s="24" t="inlineStr">
        <is>
          <t>5L×2</t>
        </is>
      </c>
      <c r="D37" s="24" t="inlineStr"/>
      <c r="E37" s="26">
        <f>CEILING(J37*(1+IF(N37&lt;&gt;"",N37,$J$2)),5)*2</f>
        <v/>
      </c>
      <c r="F37" s="27" t="inlineStr">
        <is>
          <t>ノロウイルス対応(高濃度66vol%)・軽減税率8%</t>
        </is>
      </c>
      <c r="J37" s="21" t="n">
        <v>2200</v>
      </c>
      <c r="L37" s="22">
        <f>(E37/2-J37)/J37</f>
        <v/>
      </c>
      <c r="N37" s="23" t="n"/>
    </row>
    <row r="38">
      <c r="A38" s="14" t="inlineStr">
        <is>
          <t xml:space="preserve">  トイレ用洗剤</t>
        </is>
      </c>
      <c r="B38" s="15" t="n"/>
      <c r="C38" s="15" t="n"/>
      <c r="D38" s="15" t="n"/>
      <c r="E38" s="15" t="n"/>
      <c r="F38" s="16" t="n"/>
    </row>
    <row r="39">
      <c r="A39" s="17" t="n">
        <v>10</v>
      </c>
      <c r="B39" s="18" t="inlineStr">
        <is>
          <t>花王 トイレマジックリン 消臭ストロング</t>
        </is>
      </c>
      <c r="C39" s="17" t="inlineStr">
        <is>
          <t>4.5L</t>
        </is>
      </c>
      <c r="D39" s="19">
        <f>CEILING(I39*(1+IF(M39&lt;&gt;"",M39,$J$2)),5)</f>
        <v/>
      </c>
      <c r="E39" s="17" t="inlineStr"/>
      <c r="F39" s="20" t="inlineStr">
        <is>
          <t>現行 2,530円</t>
        </is>
      </c>
      <c r="I39" s="21" t="n">
        <v>2178</v>
      </c>
      <c r="K39" s="22">
        <f>(D39-I39)/I39</f>
        <v/>
      </c>
      <c r="M39" s="23" t="n"/>
    </row>
    <row r="40">
      <c r="A40" s="24" t="inlineStr"/>
      <c r="B40" s="25" t="inlineStr">
        <is>
          <t>★ おそうじルック【ライオン】</t>
        </is>
      </c>
      <c r="C40" s="24" t="inlineStr">
        <is>
          <t>4L</t>
        </is>
      </c>
      <c r="D40" s="24" t="inlineStr"/>
      <c r="E40" s="26">
        <f>CEILING(J40*(1+IF(N40&lt;&gt;"",N40,$J$2)),5)</f>
        <v/>
      </c>
      <c r="F40" s="27" t="inlineStr">
        <is>
          <t>中性・除菌効果あり</t>
        </is>
      </c>
      <c r="J40" s="21" t="n">
        <v>850</v>
      </c>
      <c r="L40" s="22">
        <f>(E40-J40)/J40</f>
        <v/>
      </c>
      <c r="N40" s="23" t="n"/>
    </row>
    <row r="41">
      <c r="A41" s="14" t="inlineStr">
        <is>
          <t xml:space="preserve">  食器洗浄機用</t>
        </is>
      </c>
      <c r="B41" s="15" t="n"/>
      <c r="C41" s="15" t="n"/>
      <c r="D41" s="15" t="n"/>
      <c r="E41" s="15" t="n"/>
      <c r="F41" s="16" t="n"/>
    </row>
    <row r="42">
      <c r="A42" s="17" t="n">
        <v>11</v>
      </c>
      <c r="B42" s="18" t="inlineStr">
        <is>
          <t>花王 パワークリンキーパー 高速すすぎ</t>
        </is>
      </c>
      <c r="C42" s="17" t="inlineStr">
        <is>
          <t>5Kg</t>
        </is>
      </c>
      <c r="D42" s="19">
        <f>CEILING(I42*(1+IF(M42&lt;&gt;"",M42,$J$2)),5)</f>
        <v/>
      </c>
      <c r="E42" s="17" t="inlineStr">
        <is>
          <t>—</t>
        </is>
      </c>
      <c r="F42" s="20" t="inlineStr">
        <is>
          <t>現行 3,191円 / 代替品は別途ご相談</t>
        </is>
      </c>
      <c r="I42" s="21" t="n">
        <v>2656</v>
      </c>
      <c r="K42" s="22">
        <f>(D42-I42)/I42</f>
        <v/>
      </c>
      <c r="M42" s="23" t="n"/>
    </row>
    <row r="43">
      <c r="A43" s="14" t="inlineStr">
        <is>
          <t xml:space="preserve">  スチコン洗浄剤</t>
        </is>
      </c>
      <c r="B43" s="15" t="n"/>
      <c r="C43" s="15" t="n"/>
      <c r="D43" s="15" t="n"/>
      <c r="E43" s="15" t="n"/>
      <c r="F43" s="16" t="n"/>
    </row>
    <row r="44">
      <c r="A44" s="17" t="n">
        <v>12</v>
      </c>
      <c r="B44" s="18" t="inlineStr">
        <is>
          <t>花王 スチコンクリーナー</t>
        </is>
      </c>
      <c r="C44" s="17" t="inlineStr">
        <is>
          <t>2L</t>
        </is>
      </c>
      <c r="D44" s="19">
        <f>CEILING(I44*(1+IF(M44&lt;&gt;"",M44,$J$2)),5)</f>
        <v/>
      </c>
      <c r="E44" s="17" t="inlineStr">
        <is>
          <t>—</t>
        </is>
      </c>
      <c r="F44" s="20" t="inlineStr">
        <is>
          <t>現行 1,320円 / 花王継続推奨</t>
        </is>
      </c>
      <c r="I44" s="21" t="n">
        <v>1160</v>
      </c>
      <c r="K44" s="22">
        <f>(D44-I44)/I44</f>
        <v/>
      </c>
      <c r="M44" s="23" t="n"/>
    </row>
    <row r="45">
      <c r="A45" s="14" t="inlineStr">
        <is>
          <t xml:space="preserve">  除菌シート</t>
        </is>
      </c>
      <c r="B45" s="15" t="n"/>
      <c r="C45" s="15" t="n"/>
      <c r="D45" s="15" t="n"/>
      <c r="E45" s="15" t="n"/>
      <c r="F45" s="16" t="n"/>
    </row>
    <row r="46">
      <c r="A46" s="17" t="n">
        <v>13</v>
      </c>
      <c r="B46" s="18" t="inlineStr">
        <is>
          <t>花王 セイフキープEX ﾜｲﾄﾞﾌﾀ付ﾋﾟﾛｰ</t>
        </is>
      </c>
      <c r="C46" s="17" t="inlineStr">
        <is>
          <t>80枚</t>
        </is>
      </c>
      <c r="D46" s="19">
        <f>CEILING(I46*(1+IF(M46&lt;&gt;"",M46,$J$2)),5)</f>
        <v/>
      </c>
      <c r="E46" s="17" t="inlineStr"/>
      <c r="F46" s="20" t="inlineStr">
        <is>
          <t>現行 650円</t>
        </is>
      </c>
      <c r="I46" s="21" t="n">
        <v>556</v>
      </c>
      <c r="K46" s="22">
        <f>(D46-I46)/I46</f>
        <v/>
      </c>
      <c r="M46" s="23" t="n"/>
    </row>
    <row r="47">
      <c r="A47" s="24" t="inlineStr"/>
      <c r="B47" s="25" t="inlineStr">
        <is>
          <t>★ メディプロ エタノールクロス【ライオン】</t>
        </is>
      </c>
      <c r="C47" s="24" t="inlineStr">
        <is>
          <t>80枚</t>
        </is>
      </c>
      <c r="D47" s="24" t="inlineStr"/>
      <c r="E47" s="26">
        <f>CEILING(J47*(1+IF(N47&lt;&gt;"",N47,$J$2)),5)</f>
        <v/>
      </c>
      <c r="F47" s="27" t="inlineStr">
        <is>
          <t>エタノール含浸除菌シート</t>
        </is>
      </c>
      <c r="J47" s="21" t="n">
        <v>330</v>
      </c>
      <c r="L47" s="22">
        <f>(E47-J47)/J47</f>
        <v/>
      </c>
      <c r="N47" s="23" t="n"/>
    </row>
    <row r="49">
      <c r="A49" s="28" t="inlineStr">
        <is>
          <t>年間コスト比較（税抜）</t>
        </is>
      </c>
    </row>
    <row r="50">
      <c r="A50" s="13" t="inlineStr"/>
      <c r="B50" s="13" t="inlineStr">
        <is>
          <t>品目 → 代替品</t>
        </is>
      </c>
      <c r="C50" s="13" t="inlineStr">
        <is>
          <t>年間数量</t>
        </is>
      </c>
      <c r="D50" s="13" t="inlineStr">
        <is>
          <t>花王改定 年間</t>
        </is>
      </c>
      <c r="E50" s="13" t="inlineStr">
        <is>
          <t>代替品 年間</t>
        </is>
      </c>
      <c r="F50" s="13" t="inlineStr">
        <is>
          <t>削減額</t>
        </is>
      </c>
    </row>
    <row r="51">
      <c r="A51" s="29" t="inlineStr"/>
      <c r="B51" s="30" t="inlineStr">
        <is>
          <t>食器洗剤→ダイバークリーンコンク</t>
        </is>
      </c>
      <c r="C51" s="29" t="inlineStr">
        <is>
          <t>161→25本</t>
        </is>
      </c>
      <c r="D51" s="31">
        <f>161*D12</f>
        <v/>
      </c>
      <c r="E51" s="32">
        <f>25*E13</f>
        <v/>
      </c>
      <c r="F51" s="32">
        <f>E51-D51</f>
        <v/>
      </c>
    </row>
    <row r="52">
      <c r="A52" s="29" t="inlineStr"/>
      <c r="B52" s="30" t="inlineStr">
        <is>
          <t>漂白剤→セッツキッチンブリーチ</t>
        </is>
      </c>
      <c r="C52" s="29" t="inlineStr">
        <is>
          <t>232本</t>
        </is>
      </c>
      <c r="D52" s="31">
        <f>232*D18</f>
        <v/>
      </c>
      <c r="E52" s="32">
        <f>232*E19</f>
        <v/>
      </c>
      <c r="F52" s="32">
        <f>E52-D52</f>
        <v/>
      </c>
    </row>
    <row r="53">
      <c r="A53" s="29" t="inlineStr"/>
      <c r="B53" s="30" t="inlineStr">
        <is>
          <t>油汚れ→グリースサットル</t>
        </is>
      </c>
      <c r="C53" s="29" t="inlineStr">
        <is>
          <t>91本</t>
        </is>
      </c>
      <c r="D53" s="31">
        <f>91*D21</f>
        <v/>
      </c>
      <c r="E53" s="32">
        <f>91*E22</f>
        <v/>
      </c>
      <c r="F53" s="32">
        <f>E53-D53</f>
        <v/>
      </c>
    </row>
    <row r="54">
      <c r="A54" s="29" t="inlineStr"/>
      <c r="B54" s="30" t="inlineStr">
        <is>
          <t>洗濯→トップクリアリキッド</t>
        </is>
      </c>
      <c r="C54" s="29" t="inlineStr">
        <is>
          <t>33本</t>
        </is>
      </c>
      <c r="D54" s="31">
        <f>33*D24</f>
        <v/>
      </c>
      <c r="E54" s="32">
        <f>33*E25</f>
        <v/>
      </c>
      <c r="F54" s="32">
        <f>E54-D54</f>
        <v/>
      </c>
    </row>
    <row r="55">
      <c r="A55" s="29" t="inlineStr"/>
      <c r="B55" s="30" t="inlineStr">
        <is>
          <t>ハンドソープ→キレイキレイプロ</t>
        </is>
      </c>
      <c r="C55" s="29" t="inlineStr">
        <is>
          <t>21本</t>
        </is>
      </c>
      <c r="D55" s="31">
        <f>21*D27</f>
        <v/>
      </c>
      <c r="E55" s="32">
        <f>21*E28</f>
        <v/>
      </c>
      <c r="F55" s="32">
        <f>E55-D55</f>
        <v/>
      </c>
    </row>
    <row r="56">
      <c r="A56" s="29" t="inlineStr"/>
      <c r="B56" s="30" t="inlineStr">
        <is>
          <t>手指消毒→サニテートA</t>
        </is>
      </c>
      <c r="C56" s="29" t="inlineStr">
        <is>
          <t>24本</t>
        </is>
      </c>
      <c r="D56" s="31">
        <f>24*D30</f>
        <v/>
      </c>
      <c r="E56" s="32">
        <f>24*E31</f>
        <v/>
      </c>
      <c r="F56" s="32">
        <f>E56-D56</f>
        <v/>
      </c>
    </row>
    <row r="57">
      <c r="A57" s="29" t="inlineStr"/>
      <c r="B57" s="30" t="inlineStr">
        <is>
          <t>アルコール4.5L→ノロV 5L</t>
        </is>
      </c>
      <c r="C57" s="29" t="inlineStr">
        <is>
          <t>4本</t>
        </is>
      </c>
      <c r="D57" s="31">
        <f>4*D33</f>
        <v/>
      </c>
      <c r="E57" s="32">
        <f>4*E34</f>
        <v/>
      </c>
      <c r="F57" s="32">
        <f>E57-D57</f>
        <v/>
      </c>
    </row>
    <row r="58">
      <c r="A58" s="29" t="inlineStr"/>
      <c r="B58" s="30" t="inlineStr">
        <is>
          <t>アルコール10L→ノロV66 5L×2</t>
        </is>
      </c>
      <c r="C58" s="29" t="inlineStr">
        <is>
          <t>9本</t>
        </is>
      </c>
      <c r="D58" s="31">
        <f>9*D36</f>
        <v/>
      </c>
      <c r="E58" s="32">
        <f>9*E37</f>
        <v/>
      </c>
      <c r="F58" s="32">
        <f>E58-D58</f>
        <v/>
      </c>
    </row>
    <row r="59">
      <c r="A59" s="29" t="inlineStr"/>
      <c r="B59" s="30" t="inlineStr">
        <is>
          <t>トイレ→おそうじルック</t>
        </is>
      </c>
      <c r="C59" s="29" t="inlineStr">
        <is>
          <t>4本</t>
        </is>
      </c>
      <c r="D59" s="31">
        <f>4*D39</f>
        <v/>
      </c>
      <c r="E59" s="32">
        <f>4*E40</f>
        <v/>
      </c>
      <c r="F59" s="32">
        <f>E59-D59</f>
        <v/>
      </c>
    </row>
    <row r="60">
      <c r="A60" s="29" t="inlineStr"/>
      <c r="B60" s="30" t="inlineStr">
        <is>
          <t>濃縮台所→セルシアコンクα</t>
        </is>
      </c>
      <c r="C60" s="29" t="inlineStr">
        <is>
          <t>8本</t>
        </is>
      </c>
      <c r="D60" s="31">
        <f>8*D15</f>
        <v/>
      </c>
      <c r="E60" s="32">
        <f>8*E16</f>
        <v/>
      </c>
      <c r="F60" s="32">
        <f>E60-D60</f>
        <v/>
      </c>
    </row>
    <row r="61">
      <c r="A61" s="29" t="inlineStr"/>
      <c r="B61" s="30" t="inlineStr">
        <is>
          <t>除菌シート→メディプロ</t>
        </is>
      </c>
      <c r="C61" s="29" t="inlineStr">
        <is>
          <t>44個</t>
        </is>
      </c>
      <c r="D61" s="31">
        <f>44*D46</f>
        <v/>
      </c>
      <c r="E61" s="32">
        <f>44*E47</f>
        <v/>
      </c>
      <c r="F61" s="32">
        <f>E61-D61</f>
        <v/>
      </c>
    </row>
    <row r="62">
      <c r="A62" s="29" t="inlineStr"/>
      <c r="B62" s="30" t="inlineStr">
        <is>
          <t>食洗機（花王継続）</t>
        </is>
      </c>
      <c r="C62" s="29" t="inlineStr">
        <is>
          <t>102本</t>
        </is>
      </c>
      <c r="D62" s="31">
        <f>102*D42</f>
        <v/>
      </c>
      <c r="E62" s="31">
        <f>D62</f>
        <v/>
      </c>
      <c r="F62" s="32">
        <f>E62-D62</f>
        <v/>
      </c>
    </row>
    <row r="63">
      <c r="A63" s="29" t="inlineStr"/>
      <c r="B63" s="30" t="inlineStr">
        <is>
          <t>スチコン（花王継続）</t>
        </is>
      </c>
      <c r="C63" s="29" t="inlineStr">
        <is>
          <t>3本</t>
        </is>
      </c>
      <c r="D63" s="31">
        <f>3*D44</f>
        <v/>
      </c>
      <c r="E63" s="31">
        <f>D63</f>
        <v/>
      </c>
      <c r="F63" s="32">
        <f>E63-D63</f>
        <v/>
      </c>
    </row>
    <row r="64">
      <c r="A64" s="33" t="inlineStr"/>
      <c r="B64" s="34" t="inlineStr">
        <is>
          <t>合計</t>
        </is>
      </c>
      <c r="C64" s="33" t="inlineStr"/>
      <c r="D64" s="35">
        <f>SUM(D51:D63)</f>
        <v/>
      </c>
      <c r="E64" s="36">
        <f>SUM(E51:E63)</f>
        <v/>
      </c>
      <c r="F64" s="37">
        <f>E64-D64</f>
        <v/>
      </c>
    </row>
    <row r="66">
      <c r="A66" s="8" t="inlineStr">
        <is>
          <t>※ 食器洗剤はダイバークリーンコンク（6倍希釈）の同等洗浄量換算（161本→約25本）</t>
        </is>
      </c>
    </row>
    <row r="67">
      <c r="A67" s="8" t="inlineStr">
        <is>
          <t>※ ノロV/V66は食品添加物のため軽減税率8%適用。税込ベースではさらに差額拡大</t>
        </is>
      </c>
    </row>
    <row r="68">
      <c r="A68" s="8" t="inlineStr">
        <is>
          <t>※ 花王製品・ライオン製品・セッツ製品とも、商品単位でお選びいただけます</t>
        </is>
      </c>
    </row>
    <row r="69">
      <c r="A69" s="8" t="inlineStr">
        <is>
          <t>※ ダイバークリーンコンクは800gパウチ、ノロVはトライアルセットからお試し可能</t>
        </is>
      </c>
    </row>
    <row r="70">
      <c r="A70" s="8" t="inlineStr">
        <is>
          <t>※ すべて税抜価格です</t>
        </is>
      </c>
    </row>
    <row r="72">
      <c r="A72" s="5" t="inlineStr">
        <is>
          <t>小田光株式会社</t>
        </is>
      </c>
    </row>
  </sheetData>
  <mergeCells count="24">
    <mergeCell ref="B4:F4"/>
    <mergeCell ref="A41:F41"/>
    <mergeCell ref="A66:F66"/>
    <mergeCell ref="B3:F3"/>
    <mergeCell ref="A26:F26"/>
    <mergeCell ref="A14:F14"/>
    <mergeCell ref="A23:F23"/>
    <mergeCell ref="A32:F32"/>
    <mergeCell ref="A17:F17"/>
    <mergeCell ref="A35:F35"/>
    <mergeCell ref="A20:F20"/>
    <mergeCell ref="A29:F29"/>
    <mergeCell ref="A43:F43"/>
    <mergeCell ref="A7:F8"/>
    <mergeCell ref="A38:F38"/>
    <mergeCell ref="A68:F68"/>
    <mergeCell ref="A67:F67"/>
    <mergeCell ref="A11:F11"/>
    <mergeCell ref="A49:F49"/>
    <mergeCell ref="A1:F1"/>
    <mergeCell ref="A45:F45"/>
    <mergeCell ref="A70:F70"/>
    <mergeCell ref="B5:F5"/>
    <mergeCell ref="A69:F69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2026-04-08T02:55:10Z</dcterms:created>
  <dcterms:modified xsi:type="dcterms:W3CDTF">2026-04-08T02:55:10Z</dcterms:modified>
</cp:coreProperties>
</file>